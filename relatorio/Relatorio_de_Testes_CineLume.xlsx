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no\Documents\Av.01\cinelume-qa\relatorio\"/>
    </mc:Choice>
  </mc:AlternateContent>
  <xr:revisionPtr revIDLastSave="0" documentId="13_ncr:1_{52392D31-8066-4D88-B3C5-28704C478E3C}" xr6:coauthVersionLast="47" xr6:coauthVersionMax="47" xr10:uidLastSave="{00000000-0000-0000-0000-000000000000}"/>
  <bookViews>
    <workbookView xWindow="5688" yWindow="708" windowWidth="17280" windowHeight="11532" tabRatio="500" firstSheet="6" activeTab="6" xr2:uid="{00000000-000D-0000-FFFF-FFFF00000000}"/>
  </bookViews>
  <sheets>
    <sheet name="0_Instrucoes" sheetId="1" r:id="rId1"/>
    <sheet name="1_Identificacao" sheetId="2" r:id="rId2"/>
    <sheet name="2_Smoke_Test" sheetId="3" r:id="rId3"/>
    <sheet name="3_Revisao_Estatica" sheetId="4" r:id="rId4"/>
    <sheet name="4_Plano_de_Testes" sheetId="5" r:id="rId5"/>
    <sheet name="5_Casos_de_Teste" sheetId="6" r:id="rId6"/>
    <sheet name="6_Bugs" sheetId="7" r:id="rId7"/>
    <sheet name="7_Nao_Funcionais" sheetId="8" r:id="rId8"/>
    <sheet name="8_Caixa_Branca" sheetId="9" r:id="rId9"/>
    <sheet name="9_Automacao" sheetId="10" r:id="rId10"/>
    <sheet name="10_Correcao" sheetId="11" r:id="rId11"/>
    <sheet name="11_Relatorio_Final" sheetId="12" r:id="rId12"/>
    <sheet name="12_Uso_de_IA" sheetId="13" r:id="rId13"/>
    <sheet name="Listas" sheetId="14" state="hidden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2" l="1"/>
  <c r="B22" i="12"/>
  <c r="B21" i="12"/>
  <c r="B20" i="12"/>
  <c r="B19" i="12"/>
  <c r="B18" i="12"/>
  <c r="B17" i="12"/>
  <c r="B16" i="12"/>
  <c r="B15" i="12"/>
  <c r="B14" i="12"/>
  <c r="B13" i="12"/>
  <c r="B12" i="12"/>
  <c r="B11" i="12"/>
  <c r="B9" i="12"/>
  <c r="B8" i="12"/>
  <c r="B7" i="12"/>
  <c r="B6" i="12"/>
  <c r="B5" i="12"/>
  <c r="B10" i="12" l="1"/>
</calcChain>
</file>

<file path=xl/sharedStrings.xml><?xml version="1.0" encoding="utf-8"?>
<sst xmlns="http://schemas.openxmlformats.org/spreadsheetml/2006/main" count="888" uniqueCount="631">
  <si>
    <t>Relatório de Testes — CineLume v1.0</t>
  </si>
  <si>
    <t>Leia antes de começar.</t>
  </si>
  <si>
    <t>Como preencher</t>
  </si>
  <si>
    <t>1</t>
  </si>
  <si>
    <t>Preencha apenas as células amarelas. As células azuis trazem IDs fixos: não altere.</t>
  </si>
  <si>
    <t>2</t>
  </si>
  <si>
    <t>Não renomeie, apague, mova ou reordene abas, linhas de cabeçalho ou colunas.</t>
  </si>
  <si>
    <t>3</t>
  </si>
  <si>
    <t>Use as listas suspensas sempre que a célula tiver uma (RN, técnica, tipo, status, severidade).</t>
  </si>
  <si>
    <t>4</t>
  </si>
  <si>
    <t>A linha cinza de cada aba é um EXEMPLO. Deixe-a como está e comece na linha seguinte.</t>
  </si>
  <si>
    <t>5</t>
  </si>
  <si>
    <t>Todo caso de teste, bug e teste não-funcional cita a regra de negócio (RN) do REQUISITOS.md.</t>
  </si>
  <si>
    <t>6</t>
  </si>
  <si>
    <t>Relacione as abas pelos IDs: um caso que falhou aponta para o BUG; o bug aponta para o caso.</t>
  </si>
  <si>
    <t>7</t>
  </si>
  <si>
    <t>Prints vão em relatorio/evidencias/ com o nome do ID (ex.: BUG-03.png). Na coluna Evidência, escreva o nome do arquivo.</t>
  </si>
  <si>
    <t>8</t>
  </si>
  <si>
    <t>Renomeie este arquivo para Relatorio_de_Testes_CineLume_SeuNome.xlsx antes do primeiro commit.</t>
  </si>
  <si>
    <t>Abas e missões</t>
  </si>
  <si>
    <t>1_Identificacao</t>
  </si>
  <si>
    <t>Antes de começar</t>
  </si>
  <si>
    <t>2_Smoke_Test e 3_Revisao_Estatica</t>
  </si>
  <si>
    <t>Missão 1 — Reconhecimento</t>
  </si>
  <si>
    <t>4_Plano_de_Testes e 5_Casos_de_Teste</t>
  </si>
  <si>
    <t>Missão 2 — Planejamento (no mínimo 15 casos)</t>
  </si>
  <si>
    <t>5_Casos_de_Teste e 6_Bugs</t>
  </si>
  <si>
    <t>Missão 3 — Execução e registro de bugs (no mínimo 6 bugs)</t>
  </si>
  <si>
    <t>7_Nao_Funcionais</t>
  </si>
  <si>
    <t>Missão 4 — Testes não-funcionais (no mínimo 5)</t>
  </si>
  <si>
    <t>8_Caixa_Branca e 9_Automacao</t>
  </si>
  <si>
    <t>Missão 5 — Caixa branca e testes automáticos (no mínimo 8)</t>
  </si>
  <si>
    <t>10_Correcao</t>
  </si>
  <si>
    <t>Missão 6 — Correção, confirmação e regressão</t>
  </si>
  <si>
    <t>11_Relatorio_Final</t>
  </si>
  <si>
    <t>Missão 7 — Números (automáticos) e recomendação</t>
  </si>
  <si>
    <t>12_Uso_de_IA</t>
  </si>
  <si>
    <t>Sempre que usar IA</t>
  </si>
  <si>
    <t>Severidade</t>
  </si>
  <si>
    <t>Crítica</t>
  </si>
  <si>
    <t>Causa prejuízo financeiro, expõe dados ou impede a compra.</t>
  </si>
  <si>
    <t>Alta</t>
  </si>
  <si>
    <t>Cobra valor errado ou quebra uma regra de negócio importante, sem impedir a compra.</t>
  </si>
  <si>
    <t>Média</t>
  </si>
  <si>
    <t>Quebra uma regra secundária ou um limite, com contorno possível.</t>
  </si>
  <si>
    <t>Baixa</t>
  </si>
  <si>
    <t>Problema visual ou de formatação, sem efeito no valor cobrado.</t>
  </si>
  <si>
    <t>1. Identificação</t>
  </si>
  <si>
    <t>Preencha antes de começar a Missão 1.</t>
  </si>
  <si>
    <t>Nome completo</t>
  </si>
  <si>
    <t>Usuário do GitHub</t>
  </si>
  <si>
    <t>Link do repositório</t>
  </si>
  <si>
    <t>Ex.: https://github.com/usuario/cinelume-qa-nome-sobrenome</t>
  </si>
  <si>
    <t>Data</t>
  </si>
  <si>
    <t>dd/mm/aaaa</t>
  </si>
  <si>
    <t>Navegador e versão</t>
  </si>
  <si>
    <t>Ex.: Chrome 130</t>
  </si>
  <si>
    <t>Sistema operacional</t>
  </si>
  <si>
    <t>Ex.: Windows 11</t>
  </si>
  <si>
    <t>Hora de início</t>
  </si>
  <si>
    <t>hh:mm</t>
  </si>
  <si>
    <t>Hora de término</t>
  </si>
  <si>
    <t>2. Smoke test (Missão 1)</t>
  </si>
  <si>
    <t>Verificações rápidas: o sistema está estável o bastante para ser testado a fundo?</t>
  </si>
  <si>
    <t>ID</t>
  </si>
  <si>
    <t>Verificação</t>
  </si>
  <si>
    <t>Resultado</t>
  </si>
  <si>
    <t>Observação</t>
  </si>
  <si>
    <t>SMK-01</t>
  </si>
  <si>
    <t>A página abre sem erros no Console (F12)</t>
  </si>
  <si>
    <t>SMK-02</t>
  </si>
  <si>
    <t>Os 4 filmes aparecem, cada um com suas sessões</t>
  </si>
  <si>
    <t>SMK-03</t>
  </si>
  <si>
    <t>Ao escolher uma sessão, o mapa de assentos aparece</t>
  </si>
  <si>
    <t>SMK-04</t>
  </si>
  <si>
    <t>É possível escolher um assento e o resumo mostra um valor</t>
  </si>
  <si>
    <t>SMK-05</t>
  </si>
  <si>
    <t>É possível adicionar um item da bomboniere</t>
  </si>
  <si>
    <t>SMK-06</t>
  </si>
  <si>
    <t>O botão Aplicar do cupom responde</t>
  </si>
  <si>
    <t>SMK-07</t>
  </si>
  <si>
    <t>As formas de pagamento podem ser selecionadas</t>
  </si>
  <si>
    <t>SMK-08</t>
  </si>
  <si>
    <t>Com dados válidos, a compra chega à tela de confirmação</t>
  </si>
  <si>
    <t>Veredito</t>
  </si>
  <si>
    <t>Justificativa</t>
  </si>
  <si>
    <t>3. Revisão estática dos requisitos (Missão 1)</t>
  </si>
  <si>
    <t>Leia o REQUISITOS.md sem executar o sistema. Registre ambiguidades, lacunas, contradições ou regras que não dá para testar. Mínimo: 2.</t>
  </si>
  <si>
    <t>RN</t>
  </si>
  <si>
    <t>Trecho do requisito</t>
  </si>
  <si>
    <t>Tipo do problema</t>
  </si>
  <si>
    <t>Problema encontrado</t>
  </si>
  <si>
    <t>Pergunta ou sugestão ao cliente</t>
  </si>
  <si>
    <t>RE-00</t>
  </si>
  <si>
    <t>RN13</t>
  </si>
  <si>
    <t>"Celular (opcional)"</t>
  </si>
  <si>
    <t>Lacuna</t>
  </si>
  <si>
    <t>O requisito não diz qual formato o celular deve ter, nem se é validado quando preenchido.</t>
  </si>
  <si>
    <t>O celular deve ser validado quando informado? Qual formato?</t>
  </si>
  <si>
    <t>RE-01</t>
  </si>
  <si>
    <t>RE-02</t>
  </si>
  <si>
    <t>RE-03</t>
  </si>
  <si>
    <t>RE-04</t>
  </si>
  <si>
    <t>RE-05</t>
  </si>
  <si>
    <t>RE-06</t>
  </si>
  <si>
    <t>RE-07</t>
  </si>
  <si>
    <t>RE-08</t>
  </si>
  <si>
    <t>RE-09</t>
  </si>
  <si>
    <t>RE-10</t>
  </si>
  <si>
    <t>4. Plano de testes (Missão 2)</t>
  </si>
  <si>
    <t>Planeje antes de executar. Seja específico: o que será testado, como e quando o sistema está pronto.</t>
  </si>
  <si>
    <t>Objetivo do teste</t>
  </si>
  <si>
    <t>Itens que serão testados (escopo)</t>
  </si>
  <si>
    <t>Funcionalidades e regras</t>
  </si>
  <si>
    <t>Itens fora do escopo</t>
  </si>
  <si>
    <t>Estratégia</t>
  </si>
  <si>
    <t>Escolha na lista e justifique na linha seguinte</t>
  </si>
  <si>
    <t>Justificativa da estratégia</t>
  </si>
  <si>
    <t>Níveis de teste que serão usados</t>
  </si>
  <si>
    <t>Unitário, integração, sistema, aceitação</t>
  </si>
  <si>
    <t>Técnicas de modelagem que serão usadas</t>
  </si>
  <si>
    <t>Ex.: partição de equivalência, valor limite</t>
  </si>
  <si>
    <t>Ambiente de teste</t>
  </si>
  <si>
    <t>Navegador, sistema, ferramentas (DevTools, Lighthouse, VS Code)</t>
  </si>
  <si>
    <t>Critério de entrada</t>
  </si>
  <si>
    <t>Quando o teste pode começar?</t>
  </si>
  <si>
    <t>Critério de saída</t>
  </si>
  <si>
    <t>Quando o sistema pode ser lançado? Use a seção 6 do REQUISITOS.md</t>
  </si>
  <si>
    <t>Riscos do teste</t>
  </si>
  <si>
    <t>O que pode atrapalhar ou o que pode ficar de fora</t>
  </si>
  <si>
    <t>Tipos de teste previstos</t>
  </si>
  <si>
    <t>Tipo de teste</t>
  </si>
  <si>
    <t>Será executado?</t>
  </si>
  <si>
    <t>Justificativa ou RN relacionada</t>
  </si>
  <si>
    <t>Funcional</t>
  </si>
  <si>
    <t>Regressão</t>
  </si>
  <si>
    <t>Confirmação</t>
  </si>
  <si>
    <t>Exploratório</t>
  </si>
  <si>
    <t>Desempenho</t>
  </si>
  <si>
    <t>Carga</t>
  </si>
  <si>
    <t>Estresse</t>
  </si>
  <si>
    <t>Volume</t>
  </si>
  <si>
    <t>Segurança</t>
  </si>
  <si>
    <t>Recuperação</t>
  </si>
  <si>
    <t>Acessibilidade</t>
  </si>
  <si>
    <t>Aceitação</t>
  </si>
  <si>
    <t>5. Casos de teste (Missões 2 e 3)</t>
  </si>
  <si>
    <t>M2: preencha as colunas B a K (projeto do caso). M3: execute e preencha L a O. Mínimo: 15 casos, pelo menos 5 de valor limite.</t>
  </si>
  <si>
    <t>CA</t>
  </si>
  <si>
    <t>Técnica</t>
  </si>
  <si>
    <t>Nível</t>
  </si>
  <si>
    <t>Título</t>
  </si>
  <si>
    <t>Pré-condições</t>
  </si>
  <si>
    <t>Passos</t>
  </si>
  <si>
    <t>Dados de entrada</t>
  </si>
  <si>
    <t>Resultado esperado</t>
  </si>
  <si>
    <t>Resultado obtido</t>
  </si>
  <si>
    <t>Status</t>
  </si>
  <si>
    <t>Bug relacionado</t>
  </si>
  <si>
    <t>Evidência</t>
  </si>
  <si>
    <t>CT-00</t>
  </si>
  <si>
    <t>CA13.3</t>
  </si>
  <si>
    <t>Partição de equivalência</t>
  </si>
  <si>
    <t>Sistema</t>
  </si>
  <si>
    <t>E-mail sem @ é recusado</t>
  </si>
  <si>
    <t>Sessão e 1 assento escolhidos; nome e CPF válidos</t>
  </si>
  <si>
    <t>1. Digitar o e-mail
2. Escolher Pix
3. Clicar em Confirmar compra</t>
  </si>
  <si>
    <t>E-mail: ana.exemplo.com</t>
  </si>
  <si>
    <t>Compra não confirmada; mensagem "Informe um e-mail válido."</t>
  </si>
  <si>
    <t>Mensagem exibida; compra não confirmada</t>
  </si>
  <si>
    <t>Passou</t>
  </si>
  <si>
    <t>CT-01</t>
  </si>
  <si>
    <t>CT-02</t>
  </si>
  <si>
    <t>CT-03</t>
  </si>
  <si>
    <t>CT-04</t>
  </si>
  <si>
    <t>CT-05</t>
  </si>
  <si>
    <t>CT-06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</si>
  <si>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</si>
  <si>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</si>
  <si>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</si>
  <si>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</si>
  <si>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</si>
  <si>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</si>
  <si>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</si>
  <si>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</si>
  <si>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</si>
  <si>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</si>
  <si>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</si>
  <si>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</si>
  <si>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</si>
  <si>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</si>
  <si>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</si>
  <si>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</si>
  <si>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</si>
  <si>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</si>
  <si>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</si>
  <si>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</si>
  <si>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</si>
  <si>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</si>
  <si>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</si>
  <si>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</si>
  <si>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</si>
  <si>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</si>
  <si>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CT-33</t>
  </si>
  <si>
    <t>CT-34</t>
  </si>
  <si>
    <t>CT-35</t>
  </si>
  <si>
    <t>CT-36</t>
  </si>
  <si>
    <t>CT-37</t>
  </si>
  <si>
    <t>CT-38</t>
  </si>
  <si>
    <t>CT-39</t>
  </si>
  <si>
    <t>CT-40</t>
  </si>
  <si>
    <t>6. Relatórios de bug (Missão 3 em diante)</t>
  </si>
  <si>
    <t>Um bug por linha. Passos precisam permitir que outra pessoa reproduza. Mínimo: 6 bugs, cada um com evidência.</t>
  </si>
  <si>
    <t>RN violada</t>
  </si>
  <si>
    <t>Caso de teste</t>
  </si>
  <si>
    <t>Prioridade</t>
  </si>
  <si>
    <t>Passos para reproduzir</t>
  </si>
  <si>
    <t>Dados usados</t>
  </si>
  <si>
    <t>Status do bug</t>
  </si>
  <si>
    <t>Missão</t>
  </si>
  <si>
    <t>BUG-00</t>
  </si>
  <si>
    <t>EXEMPLO FICTÍCIO: cupom inexistente não mostra mensagem</t>
  </si>
  <si>
    <t>RN10</t>
  </si>
  <si>
    <t>CA10.4</t>
  </si>
  <si>
    <t>1. Escolher uma sessão e 1 assento
2. Digitar XYZ no campo de cupom
3. Clicar em Aplicar</t>
  </si>
  <si>
    <t>Cupom: XYZ</t>
  </si>
  <si>
    <t>Mensagem "Cupom inválido."</t>
  </si>
  <si>
    <t>Nenhuma mensagem aparece</t>
  </si>
  <si>
    <t>BUG-00.png</t>
  </si>
  <si>
    <t>Aberto</t>
  </si>
  <si>
    <t>M3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</si>
  <si>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</si>
  <si>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</si>
  <si>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</si>
  <si>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</si>
  <si>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</si>
  <si>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</si>
  <si>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</si>
  <si>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</si>
  <si>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</si>
  <si>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</si>
  <si>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</si>
  <si>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</si>
  <si>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</si>
  <si>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</si>
  <si>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</si>
  <si>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</si>
  <si>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</si>
  <si>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</si>
  <si>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</si>
  <si>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</si>
  <si>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</si>
  <si>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</si>
  <si>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</si>
  <si>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</si>
  <si>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</si>
  <si>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</si>
  <si>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BUG-27</t>
  </si>
  <si>
    <t>BUG-28</t>
  </si>
  <si>
    <t>BUG-29</t>
  </si>
  <si>
    <t>BUG-30</t>
  </si>
  <si>
    <t>7. Testes não-funcionais (Missão 4)</t>
  </si>
  <si>
    <t>Cada teste tem uma medida (número, contagem ou observação objetiva) e um critério. Mínimo: 5 testes, de tipos diferentes, com evidência.</t>
  </si>
  <si>
    <t>O que foi medido</t>
  </si>
  <si>
    <t>Como testou (ferramenta e passos)</t>
  </si>
  <si>
    <t>Valor obtido</t>
  </si>
  <si>
    <t>Critério de aceitação</t>
  </si>
  <si>
    <t>NF-00</t>
  </si>
  <si>
    <t>RN17</t>
  </si>
  <si>
    <t>Tempo para calcular 1.000 pedidos</t>
  </si>
  <si>
    <t>Console: console.time + laço com atualizarResumo() 1.000 vezes</t>
  </si>
  <si>
    <t>42 ms</t>
  </si>
  <si>
    <t>Até 1.000 ms</t>
  </si>
  <si>
    <t>NF-00.png</t>
  </si>
  <si>
    <t>NF-01</t>
  </si>
  <si>
    <t>NF-02</t>
  </si>
  <si>
    <t>NF-03</t>
  </si>
  <si>
    <t>NF-04</t>
  </si>
  <si>
    <t>NF-05</t>
  </si>
  <si>
    <t>NF-06</t>
  </si>
  <si>
    <t>NF-07</t>
  </si>
  <si>
    <t>NF-08</t>
  </si>
  <si>
    <t>NF-09</t>
  </si>
  <si>
    <t>NF-10</t>
  </si>
  <si>
    <t>NF-11</t>
  </si>
  <si>
    <t>NF-12</t>
  </si>
  <si>
    <t>NF-13</t>
  </si>
  <si>
    <t>NF-14</t>
  </si>
  <si>
    <t>NF-15</t>
  </si>
  <si>
    <t>8. Teste de caixa branca (Missão 5)</t>
  </si>
  <si>
    <t>Leia js/regras.js. Para cada condição (if) das funções escolhidas, registre uma entrada que passe por aquele caminho e compare com a RN.</t>
  </si>
  <si>
    <t>Função</t>
  </si>
  <si>
    <t>Condição ou trecho analisado</t>
  </si>
  <si>
    <t>Caminho coberto</t>
  </si>
  <si>
    <t>Entrada usada</t>
  </si>
  <si>
    <t>Resultado esperado (pela RN)</t>
  </si>
  <si>
    <t>CB-00</t>
  </si>
  <si>
    <t>validarNome</t>
  </si>
  <si>
    <t>nome.trim().length &gt;= 3</t>
  </si>
  <si>
    <t>Condição falsa</t>
  </si>
  <si>
    <t>validarNome("Al")</t>
  </si>
  <si>
    <t>false (RN13: mínimo de 3 caracteres)</t>
  </si>
  <si>
    <t>false</t>
  </si>
  <si>
    <t>CB-01</t>
  </si>
  <si>
    <t>CB-02</t>
  </si>
  <si>
    <t>CB-03</t>
  </si>
  <si>
    <t>CB-04</t>
  </si>
  <si>
    <t>CB-05</t>
  </si>
  <si>
    <t>CB-06</t>
  </si>
  <si>
    <t>CB-07</t>
  </si>
  <si>
    <t>CB-08</t>
  </si>
  <si>
    <t>CB-09</t>
  </si>
  <si>
    <t>CB-10</t>
  </si>
  <si>
    <t>CB-11</t>
  </si>
  <si>
    <t>CB-12</t>
  </si>
  <si>
    <t>CB-13</t>
  </si>
  <si>
    <t>CB-14</t>
  </si>
  <si>
    <t>CB-15</t>
  </si>
  <si>
    <t>CB-16</t>
  </si>
  <si>
    <t>CB-17</t>
  </si>
  <si>
    <t>CB-18</t>
  </si>
  <si>
    <t>CB-19</t>
  </si>
  <si>
    <t>CB-20</t>
  </si>
  <si>
    <t>9. Testes automáticos (Missão 5)</t>
  </si>
  <si>
    <t>Cada linha corresponde a um testar(...) em testes/testes.html, com o mesmo ID. Mínimo: 8 testes.</t>
  </si>
  <si>
    <t>Função testada</t>
  </si>
  <si>
    <t>O que o teste verifica</t>
  </si>
  <si>
    <t>Chamada usada no testes.html</t>
  </si>
  <si>
    <t>Esperado</t>
  </si>
  <si>
    <t>Obtido</t>
  </si>
  <si>
    <t>Resultado no testes.html</t>
  </si>
  <si>
    <t>AT-EX1</t>
  </si>
  <si>
    <t>validarEmail</t>
  </si>
  <si>
    <t>E-mail com @ e domínio é aceito</t>
  </si>
  <si>
    <t>testar('AT-EX1', '...', validarEmail('ana@exemplo.com'), true);</t>
  </si>
  <si>
    <t>true</t>
  </si>
  <si>
    <t>AT01</t>
  </si>
  <si>
    <t>AT02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</si>
  <si>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</si>
  <si>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</si>
  <si>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</si>
  <si>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</si>
  <si>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</si>
  <si>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</si>
  <si>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</si>
  <si>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</si>
  <si>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</si>
  <si>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</si>
  <si>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</si>
  <si>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</si>
  <si>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</si>
  <si>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</si>
  <si>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</si>
  <si>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</si>
  <si>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</si>
  <si>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</si>
  <si>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10. Correção, confirmação e regressão (Missão 6)</t>
  </si>
  <si>
    <t>Corrija pelo menos 1 bug. Depois confirme que ele sumiu e rode os testes automáticos de novo para ver se nada quebrou.</t>
  </si>
  <si>
    <t>Bug corrigido</t>
  </si>
  <si>
    <t>Arquivo</t>
  </si>
  <si>
    <t>Causa do defeito</t>
  </si>
  <si>
    <t>O que foi alterado</t>
  </si>
  <si>
    <t>Teste de confirmação (ID)</t>
  </si>
  <si>
    <t>Resultado da confirmação</t>
  </si>
  <si>
    <t>Regressão: testes passando antes</t>
  </si>
  <si>
    <t>Regressão: testes passando depois</t>
  </si>
  <si>
    <t>Algo quebrou?</t>
  </si>
  <si>
    <t>Hash do commit</t>
  </si>
  <si>
    <t>COR-01</t>
  </si>
  <si>
    <t>COR-02</t>
  </si>
  <si>
    <t>COR-03</t>
  </si>
  <si>
    <t>11. Relatório final (Missão 7)</t>
  </si>
  <si>
    <t>Os números da seção A são calculados sozinhos a partir das outras abas. Preencha a seção B.</t>
  </si>
  <si>
    <t>A. Números do teste</t>
  </si>
  <si>
    <t>Casos de teste escritos</t>
  </si>
  <si>
    <t>Casos que passaram</t>
  </si>
  <si>
    <t>Casos que falharam</t>
  </si>
  <si>
    <t>Casos bloqueados</t>
  </si>
  <si>
    <t>Casos não executados</t>
  </si>
  <si>
    <t>Taxa de aprovação dos casos executados</t>
  </si>
  <si>
    <t>Casos de valor limite</t>
  </si>
  <si>
    <t>Bugs registrados</t>
  </si>
  <si>
    <t>Bugs críticos</t>
  </si>
  <si>
    <t>Bugs altos</t>
  </si>
  <si>
    <t>Bugs médios</t>
  </si>
  <si>
    <t>Bugs baixos</t>
  </si>
  <si>
    <t>Bugs corrigidos</t>
  </si>
  <si>
    <t>Testes não-funcionais executados</t>
  </si>
  <si>
    <t>Testes não-funcionais que falharam</t>
  </si>
  <si>
    <t>Caminhos de caixa branca analisados</t>
  </si>
  <si>
    <t>Testes automáticos escritos</t>
  </si>
  <si>
    <t>Testes automáticos que passaram</t>
  </si>
  <si>
    <t>Testes automáticos que falharam</t>
  </si>
  <si>
    <t>B. Análise e recomendação</t>
  </si>
  <si>
    <t>Resumo executivo</t>
  </si>
  <si>
    <t>Até 5 linhas, para a diretoria do cinema</t>
  </si>
  <si>
    <t>Bug mais grave nº 1 (ID e motivo)</t>
  </si>
  <si>
    <t>Bug mais grave nº 2 (ID e motivo)</t>
  </si>
  <si>
    <t>Bug mais grave nº 3 (ID e motivo)</t>
  </si>
  <si>
    <t>Recomendação</t>
  </si>
  <si>
    <t>Escolha na lista</t>
  </si>
  <si>
    <t>Justificativa da recomendação</t>
  </si>
  <si>
    <t>Relacione com o critério de lançamento (seção 6 do REQUISITOS.md)</t>
  </si>
  <si>
    <t>O que ficou sem testar e qual o risco</t>
  </si>
  <si>
    <t>O que você faria diferente num próximo ciclo de testes</t>
  </si>
  <si>
    <t>12. Uso de inteligência artificial</t>
  </si>
  <si>
    <t>Se usou IA em qualquer missão, registre aqui. Se não usou, escreva "Não usei IA" na linha IA-01.</t>
  </si>
  <si>
    <t>Ferramenta</t>
  </si>
  <si>
    <t>Prompt usado</t>
  </si>
  <si>
    <t>O que a IA respondeu (resumo)</t>
  </si>
  <si>
    <t>O que você aproveitou</t>
  </si>
  <si>
    <t>O que você conferiu ou corrigiu</t>
  </si>
  <si>
    <t>IA-01</t>
  </si>
  <si>
    <t>IA-02</t>
  </si>
  <si>
    <t>IA-03</t>
  </si>
  <si>
    <t>IA-04</t>
  </si>
  <si>
    <t>IA-05</t>
  </si>
  <si>
    <t>IA-06</t>
  </si>
  <si>
    <t>IA-07</t>
  </si>
  <si>
    <t>IA-08</t>
  </si>
  <si>
    <t>IA-09</t>
  </si>
  <si>
    <t>IA-10</t>
  </si>
  <si>
    <t>Tecnica</t>
  </si>
  <si>
    <t>Tipo</t>
  </si>
  <si>
    <t>Nivel</t>
  </si>
  <si>
    <t>StatusBug</t>
  </si>
  <si>
    <t>SimNao</t>
  </si>
  <si>
    <t>Smoke</t>
  </si>
  <si>
    <t>Recomendacao</t>
  </si>
  <si>
    <t>Funcao</t>
  </si>
  <si>
    <t>Missao</t>
  </si>
  <si>
    <t>ProblemaReq</t>
  </si>
  <si>
    <t>Estrategia</t>
  </si>
  <si>
    <t>RN01</t>
  </si>
  <si>
    <t>Unitário</t>
  </si>
  <si>
    <t>Sim</t>
  </si>
  <si>
    <t>OK</t>
  </si>
  <si>
    <t>Apto para testes</t>
  </si>
  <si>
    <t>Lançar</t>
  </si>
  <si>
    <t>precoBaseSessao</t>
  </si>
  <si>
    <t>M1</t>
  </si>
  <si>
    <t>Ambiguidade</t>
  </si>
  <si>
    <t>Preventiva</t>
  </si>
  <si>
    <t>RN02</t>
  </si>
  <si>
    <t>Valor limite</t>
  </si>
  <si>
    <t>Integração</t>
  </si>
  <si>
    <t>Falhou</t>
  </si>
  <si>
    <t>Corrigido</t>
  </si>
  <si>
    <t>Não</t>
  </si>
  <si>
    <t>Não apto</t>
  </si>
  <si>
    <t>Lançar com ressalvas</t>
  </si>
  <si>
    <t>calcularIngressos</t>
  </si>
  <si>
    <t>M2</t>
  </si>
  <si>
    <t>Reativa</t>
  </si>
  <si>
    <t>RN03</t>
  </si>
  <si>
    <t>Tabela de decisão</t>
  </si>
  <si>
    <t>Bloqueado</t>
  </si>
  <si>
    <t>Corrigido e confirmado</t>
  </si>
  <si>
    <t>Não lançar</t>
  </si>
  <si>
    <t>calcularBomboniere</t>
  </si>
  <si>
    <t>Contradição</t>
  </si>
  <si>
    <t>Preventiva e reativa</t>
  </si>
  <si>
    <t>RN04</t>
  </si>
  <si>
    <t>Transição de estados</t>
  </si>
  <si>
    <t>Não executado</t>
  </si>
  <si>
    <t>Não reproduzido</t>
  </si>
  <si>
    <t>contarItens</t>
  </si>
  <si>
    <t>M4</t>
  </si>
  <si>
    <t>Não testável</t>
  </si>
  <si>
    <t>RN05</t>
  </si>
  <si>
    <t>calcularTaxa</t>
  </si>
  <si>
    <t>M5</t>
  </si>
  <si>
    <t>RN06</t>
  </si>
  <si>
    <t>Caixa branca</t>
  </si>
  <si>
    <t>calcularDescontoCupom</t>
  </si>
  <si>
    <t>M6</t>
  </si>
  <si>
    <t>RN07</t>
  </si>
  <si>
    <t>Revisão estática</t>
  </si>
  <si>
    <t>calcularParcelasMaximas</t>
  </si>
  <si>
    <t>M7</t>
  </si>
  <si>
    <t>RN08</t>
  </si>
  <si>
    <t>Outra</t>
  </si>
  <si>
    <t>RN09</t>
  </si>
  <si>
    <t>validarCPF</t>
  </si>
  <si>
    <t>RN11</t>
  </si>
  <si>
    <t>formatarMoeda</t>
  </si>
  <si>
    <t>RN12</t>
  </si>
  <si>
    <t>RN14</t>
  </si>
  <si>
    <t>Usabilidade</t>
  </si>
  <si>
    <t>RN15</t>
  </si>
  <si>
    <t>RN16</t>
  </si>
  <si>
    <t>RN18</t>
  </si>
  <si>
    <t>RN19</t>
  </si>
  <si>
    <t>RN20</t>
  </si>
  <si>
    <t>RN21</t>
  </si>
  <si>
    <t>Kauan victor martins da silva</t>
  </si>
  <si>
    <t>kauan.victor-dev</t>
  </si>
  <si>
    <t>https://github.com/kauanvictor-dev/CineLune-qa-kauan.git</t>
  </si>
  <si>
    <t>22h</t>
  </si>
  <si>
    <t xml:space="preserve">Sistema foi requisitado possitivamento na sessão de testes ( QA ) </t>
  </si>
  <si>
    <t>ingresso é R$ 24,00 em qualquer horário</t>
  </si>
  <si>
    <t>Sessões 3D possuem adicional de R$ 6,00 por pedido, independentemente da quantidade de ingressos.</t>
  </si>
  <si>
    <t>A meia-entrada tem 30% de desconto.</t>
  </si>
  <si>
    <t>Pré-estreias aceitam meia-entrada.</t>
  </si>
  <si>
    <t>Cada pedido permite até 10 ingressos.</t>
  </si>
  <si>
    <t>O valor é o mesmo em qualquer horário, sem considerar a sessão.</t>
  </si>
  <si>
    <t>O desconto não considera o adicional 3D.</t>
  </si>
  <si>
    <t>A meia-entrada é permitida, mesmo sendo pré-estreia.</t>
  </si>
  <si>
    <t>O desconto não considera o adicional</t>
  </si>
  <si>
    <t>O sistema permite comprar até 10 ingressos por pedido.</t>
  </si>
  <si>
    <t>Verificar se a compra de ingressos funciona corretamente.</t>
  </si>
  <si>
    <t>Preços, descontos, assentos, bomboniere, pagamentos e validações.</t>
  </si>
  <si>
    <t>Integrações reais com bancos, e-mails e SMS.</t>
  </si>
  <si>
    <t>Testes de sistema e integração.</t>
  </si>
  <si>
    <t>Partição de equivalência e análise de valores-limite.</t>
  </si>
  <si>
    <t>Objetivo principal seria a saída dos dados correto, evitando erros.</t>
  </si>
  <si>
    <t>Entre Erros de Caixa-branca e Caixa-Preta, todos os testes precisaram ser avaliados, desde o Front-end com erros humanos a problemas na Sintax do codigo etc</t>
  </si>
  <si>
    <t>Navegador web e ambiente de testes do sistema. ( Gemini )</t>
  </si>
  <si>
    <t xml:space="preserve">Valores inciiais para o teste dentro que foi passado ( Gemini ) </t>
  </si>
  <si>
    <t xml:space="preserve">Testes manuais para encontrar erros nas regras de compra. ( Gemini ) </t>
  </si>
  <si>
    <t>ca01.1</t>
  </si>
  <si>
    <t>ca02.1</t>
  </si>
  <si>
    <t>ca05.1</t>
  </si>
  <si>
    <t>ca06.1</t>
  </si>
  <si>
    <t>ca07.1</t>
  </si>
  <si>
    <t>ca08.1</t>
  </si>
  <si>
    <t>ca09.1</t>
  </si>
  <si>
    <t>ca10.1</t>
  </si>
  <si>
    <t>ca11.1</t>
  </si>
  <si>
    <t>ca12.1</t>
  </si>
  <si>
    <t xml:space="preserve">Chatgpt </t>
  </si>
  <si>
    <t>Me explica de um jeito simples o que é partição de equivalência</t>
  </si>
  <si>
    <t>Chatgpt</t>
  </si>
  <si>
    <t>Qual é a diferença entre RN e critério de aceitação?</t>
  </si>
  <si>
    <t>Pode me explicar o que significa critério de saída nos testes?</t>
  </si>
  <si>
    <t>Pra que serve um plano de testes na prática?</t>
  </si>
  <si>
    <t>Como posso diferenciar uma ambiguidade de uma contradição nos requisitos?</t>
  </si>
  <si>
    <t>Como funciona um critério de aceitação dentro de um projeto?</t>
  </si>
  <si>
    <t>É uma técnica que divide os dados de entrada em grupos com comportamentos semelhantes, facilitando os testes. Por exemplo, se o sistema aceita de 1 a 6 ingressos, podemos testar um valor válido e valores fora desse intervalo.</t>
  </si>
  <si>
    <t>O RN (Requisito de Negócio) descreve uma regra que o sistema deve seguir. Já o critério de aceitação define o que precisa acontecer para confirmar que essa regra foi atendida.</t>
  </si>
  <si>
    <t>Define quando os testes podem ser encerrados, por exemplo, quando todos os casos planejados foram executados e os erros encontrados foram registrados.</t>
  </si>
  <si>
    <t>Serve para organizar os testes antes de começar, definindo o que será testado, como os testes serão feitos e quais resultados são esperados.</t>
  </si>
  <si>
    <t>Ambiguidade acontece quando uma regra permite mais de uma interpretação. Contradição ocorre quando duas regras apresentam informações conflitantes, como permitir e proibir a mesma ação.</t>
  </si>
  <si>
    <t>São as condições que uma funcionalidade precisa cumprir para ser considerada correta. Por exemplo, se o limite é de 6 ingressos, o sistema deve aceitar até 6 e impedir uma compra com 7.</t>
  </si>
  <si>
    <t>Certo</t>
  </si>
  <si>
    <t>Fiquei no modo Análise</t>
  </si>
  <si>
    <t xml:space="preserve">Não entendi nada </t>
  </si>
  <si>
    <t xml:space="preserve">Apenas quis saber mesmo </t>
  </si>
  <si>
    <t>ca01.2</t>
  </si>
  <si>
    <t>ca01.3</t>
  </si>
  <si>
    <t>Escolhe o Horario do filme desejado com definição com o valor do ingresso</t>
  </si>
  <si>
    <t>Primeira etapa foi clicar no horario filme ( 14:00 2D, depois selecionar o Assento 03 C para o teste funcional, Acrescentar o valor do ingresso ( 1 ), Assim de rodar a operação o teste vai ser analisado.</t>
  </si>
  <si>
    <t>Gemini</t>
  </si>
  <si>
    <t xml:space="preserve">Gimini </t>
  </si>
  <si>
    <t>O tempo de um Sistema precisa ser de 2 segundos</t>
  </si>
  <si>
    <t xml:space="preserve">Isso foi um metodo criado para fazer um calculo dentro do sistema ( Caixa Preta ) para que o sistema aceite 1000 vezes a operação sem travamento </t>
  </si>
  <si>
    <t>Retorno de um sistema funcional sem problemas na etapa da regra de negocios</t>
  </si>
  <si>
    <t>O usuario poderar testar o Site sem ter problemas de travamento  ou demora no carregamento</t>
  </si>
  <si>
    <t>Sistema de Acessibilidade do Site</t>
  </si>
  <si>
    <t>Rodagem da tela com tempo de -3segundos por tela.</t>
  </si>
  <si>
    <t>Filme: Órbita Silenciosa. Sessão: orb-1400 (14:00).</t>
  </si>
  <si>
    <t>A sessão é destacada como ativa e o resumo exibe "Órbita Silenciosa · 14:00 · 2D".</t>
  </si>
  <si>
    <t xml:space="preserve">Valor cobrado errado </t>
  </si>
  <si>
    <t xml:space="preserve"> 1. Selecionar o assento C1. 2. Preencher dados do cliente. 3. Selecionar Cartão.</t>
  </si>
  <si>
    <t>1. Selecionar sessão orb-2030 (20:30). 2. Selecionar assento A3.</t>
  </si>
  <si>
    <t>1. Selecionar sessão qui-1530 (15:30, 3D). 2. Selecionar assento B2.</t>
  </si>
  <si>
    <t>1. Clicar no assento A1.</t>
  </si>
  <si>
    <t>1. Digitar "1" no campo de meia-entrada.</t>
  </si>
  <si>
    <t>1. Informar quantidade 2 para "Pipoca grande". 2. Informar quantidade 1 para "Refrigerante 500 ml".</t>
  </si>
  <si>
    <t>1. Verificar resumo de valores.</t>
  </si>
  <si>
    <t>1. Digitar "CINE10" no cupom. 2. Clicar em "Aplicar".</t>
  </si>
  <si>
    <t>1. Digitar "CUPOMINVALIDO". 2. Clicar em "Aplicar".</t>
  </si>
  <si>
    <t>1. Selecionar a opção de pagamento "Pix".</t>
  </si>
  <si>
    <t>1. Preencher nome como "An". 2. Preencher CPF e e-mail válidos. 3. Clicar em "Confirmar compra".</t>
  </si>
  <si>
    <t>1. Preencher CPF com "12345678". 2. Clicar em "Confirmar compra".</t>
  </si>
  <si>
    <t>1. Clicar em "Confirmar compra" com todos os dados válidos.</t>
  </si>
  <si>
    <t>Partição de Equivalência</t>
  </si>
  <si>
    <t>Valor do ingresso para sessão até 17h</t>
  </si>
  <si>
    <t>Valor do ingresso para sessão após 17h</t>
  </si>
  <si>
    <t>Adicional de formato 3D no ingresso</t>
  </si>
  <si>
    <t>Impedir seleção de assento ocupado</t>
  </si>
  <si>
    <t>Aplicação de desconto de meia-entrada</t>
  </si>
  <si>
    <t>Meia-entrada desativada em pré-estreia</t>
  </si>
  <si>
    <t>Adição de produtos da bomboniere</t>
  </si>
  <si>
    <t>Cálculo da taxa de conveniência</t>
  </si>
  <si>
    <t>Aplicação do cupom CINE10</t>
  </si>
  <si>
    <t>Rejeição de cupom inválido</t>
  </si>
  <si>
    <t>Desconto de 5% para pagamento via Pix</t>
  </si>
  <si>
    <t>Validação de nome inválido no checkout</t>
  </si>
  <si>
    <t>Validação de CPF com digitação incorreta</t>
  </si>
  <si>
    <t>Gravação de histórico e ocupação de assentos</t>
  </si>
  <si>
    <t>Sistema aberto no navegador.</t>
  </si>
  <si>
    <t>Sessão orb-1400 selecionada.</t>
  </si>
  <si>
    <t>Sessão orb-1400 selecionada. Assento A1 ocupado.</t>
  </si>
  <si>
    <t>Sessão far-2100 selecionada. Dois assentos escolhidos (A1 e A2).</t>
  </si>
  <si>
    <t>Sessão vid-2200 (pré-estreia) selecionada. Um assento A1 escolhido.</t>
  </si>
  <si>
    <t>Sessão e assentos selecionados.</t>
  </si>
  <si>
    <t>1 ingresso selecionado. Dois produtos na bomboniere.</t>
  </si>
  <si>
    <t>Sessão selecionada. Subtotal de ingressos + bomboniere = R$ 100,00.</t>
  </si>
  <si>
    <t>Qualquer estado do pedido.</t>
  </si>
  <si>
    <t>Pedido com subtotal parcial de R$ 50,00.</t>
  </si>
  <si>
    <t>Sessão, assento e pagamento selecionados.</t>
  </si>
  <si>
    <t>Dados preenchidos no checkout.</t>
  </si>
  <si>
    <t>Pedido válido completo.</t>
  </si>
  <si>
    <t>Assento: C1. Quantidade: 1 ingresso inteira.</t>
  </si>
  <si>
    <t>Preço base do ingresso de R$ 24,00. Subtotal de ingressos = R$ 24,00.</t>
  </si>
  <si>
    <t>Filme: Órbita Silenciosa. Sessão: 20:30. Assento: A3.</t>
  </si>
  <si>
    <t>Preço base do ingresso de R$ 32,00. Subtotal = R$ 32,00, sem taxa 3D.</t>
  </si>
  <si>
    <t>Sessão 3D das 15:30. 1 assento.</t>
  </si>
  <si>
    <t>Ingresso calculado como R$ 24,00 + R$ 6,00 (3D) = R$ 30,00.</t>
  </si>
  <si>
    <t>Assento: A1 (ocupado).</t>
  </si>
  <si>
    <t>O assento não altera para o estado "selecionado" e o resumo continua inalterado.</t>
  </si>
  <si>
    <t>Meia-entrada: 1. Inteiras: 1.</t>
  </si>
  <si>
    <t>1 inteira = R$ 32,00. 1 meia = R$ 19,20. Total de ingressos = R$ 51,20.</t>
  </si>
  <si>
    <t>Sessão: pré-estreia. Meias: 1.</t>
  </si>
  <si>
    <t>Meia-entrada ignorada (0 meias consideradas). Valor cobrado de uma inteira = R$ 32,00.</t>
  </si>
  <si>
    <t>Pipoca G: 2 × R$ 22,00. Refrigerante: 1 × R$ 9,50.</t>
  </si>
  <si>
    <t>Subtotal da bomboniere = R$ 53,50 (R$ 44,00 + R$ 9,50).</t>
  </si>
  <si>
    <t>Pagamento: Pix. Subtotal: R$ 50,00.</t>
  </si>
  <si>
    <t>Desconto Pix de R$ 2,50 (5%) exibido e subtraído do valor total.</t>
  </si>
  <si>
    <t>1. Selecionar o assento C1. 2. Preencher dados do cliente. 3. Selecionar Cartão.</t>
  </si>
  <si>
    <t>Taxa de conveniência = (1 + 2) × R$ 2,50 = R$ 7,50.</t>
  </si>
  <si>
    <t>Exibir mensagem "Cupom CINE10 aplicado." com estilo verde. Aplicar desconto de R$ 10,00 (10%).</t>
  </si>
  <si>
    <t>Exibir mensagem "Cupom inválido." com estilo de erro. Nenhum desconto é computado.</t>
  </si>
  <si>
    <t>Exibir mensagem "Informe o nome completo (mínimo de 3 letras)." e impedir a finalização da compra.</t>
  </si>
  <si>
    <t>Exibir mensagem "Informe um CPF válido, com 11 dígitos." e impedir a finalização da compra.</t>
  </si>
  <si>
    <t>Após 1,5s, exibir confirmação com código CL...; salvar pedido no localStorage e marcar assentos como ocupados no mapa.</t>
  </si>
  <si>
    <t>Execultado e Correto</t>
  </si>
  <si>
    <t>Valor cobrado errado</t>
  </si>
  <si>
    <t xml:space="preserve">Pendente 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</si>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</sst>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B2440"/>
      <name val="Arial"/>
      <charset val="1"/>
    </font>
    <font>
      <i/>
      <sz val="10"/>
      <color rgb="FF555555"/>
      <name val="Arial"/>
      <charset val="1"/>
    </font>
    <font>
      <b/>
      <sz val="11"/>
      <color rgb="FF1B244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3F2"/>
        <bgColor rgb="FFEDEDED"/>
      </patternFill>
    </fill>
    <fill>
      <patternFill patternType="solid">
        <fgColor rgb="FFFFF7DC"/>
        <bgColor rgb="FFFFFFFF"/>
      </patternFill>
    </fill>
    <fill>
      <patternFill patternType="solid">
        <fgColor rgb="FF1B2440"/>
        <bgColor rgb="FF003366"/>
      </patternFill>
    </fill>
    <fill>
      <patternFill patternType="solid">
        <fgColor rgb="FFEDEDED"/>
        <bgColor rgb="FFDCE3F2"/>
      </patternFill>
    </fill>
  </fills>
  <borders count="3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  <border>
      <left style="thin">
        <color rgb="FFC9CED8"/>
      </left>
      <right/>
      <top style="thin">
        <color rgb="FFC9CED8"/>
      </top>
      <bottom style="thin">
        <color rgb="FFC9CED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/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0" fillId="3" borderId="1" xfId="0" applyFill="1" applyBorder="1"/>
    <xf numFmtId="0" fontId="7" fillId="5" borderId="1" xfId="0" applyFont="1" applyFill="1" applyBorder="1" applyAlignment="1">
      <alignment vertical="top" wrapText="1"/>
    </xf>
    <xf numFmtId="0" fontId="6" fillId="4" borderId="0" xfId="0" applyFont="1" applyFill="1"/>
    <xf numFmtId="0" fontId="0" fillId="4" borderId="0" xfId="0" applyFill="1"/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8" fillId="3" borderId="1" xfId="1" applyFill="1" applyBorder="1" applyAlignment="1">
      <alignment vertical="top" wrapText="1"/>
    </xf>
    <xf numFmtId="14" fontId="4" fillId="3" borderId="1" xfId="0" applyNumberFormat="1" applyFont="1" applyFill="1" applyBorder="1" applyAlignment="1">
      <alignment vertical="top" wrapText="1"/>
    </xf>
    <xf numFmtId="20" fontId="4" fillId="3" borderId="1" xfId="0" applyNumberFormat="1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7DC"/>
      <rgbColor rgb="FFEDEDED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auanvictor-dev/CineLune-qa-kauan.gi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topLeftCell="A46" zoomScaleNormal="100" workbookViewId="0"/>
  </sheetViews>
  <sheetFormatPr defaultColWidth="8.6640625" defaultRowHeight="14.4" x14ac:dyDescent="0.3"/>
  <cols>
    <col min="1" max="1" width="38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4" t="s">
        <v>4</v>
      </c>
    </row>
    <row r="6" spans="1:2" x14ac:dyDescent="0.3">
      <c r="A6" s="5" t="s">
        <v>5</v>
      </c>
      <c r="B6" s="4" t="s">
        <v>6</v>
      </c>
    </row>
    <row r="7" spans="1:2" x14ac:dyDescent="0.3">
      <c r="A7" s="5" t="s">
        <v>7</v>
      </c>
      <c r="B7" s="4" t="s">
        <v>8</v>
      </c>
    </row>
    <row r="8" spans="1:2" x14ac:dyDescent="0.3">
      <c r="A8" s="5" t="s">
        <v>9</v>
      </c>
      <c r="B8" s="4" t="s">
        <v>10</v>
      </c>
    </row>
    <row r="9" spans="1:2" x14ac:dyDescent="0.3">
      <c r="A9" s="5" t="s">
        <v>11</v>
      </c>
      <c r="B9" s="4" t="s">
        <v>12</v>
      </c>
    </row>
    <row r="10" spans="1:2" x14ac:dyDescent="0.3">
      <c r="A10" s="5" t="s">
        <v>13</v>
      </c>
      <c r="B10" s="4" t="s">
        <v>14</v>
      </c>
    </row>
    <row r="11" spans="1:2" x14ac:dyDescent="0.3">
      <c r="A11" s="5" t="s">
        <v>15</v>
      </c>
      <c r="B11" s="4" t="s">
        <v>16</v>
      </c>
    </row>
    <row r="12" spans="1:2" x14ac:dyDescent="0.3">
      <c r="A12" s="5" t="s">
        <v>17</v>
      </c>
      <c r="B12" s="4" t="s">
        <v>18</v>
      </c>
    </row>
    <row r="13" spans="1:2" x14ac:dyDescent="0.3">
      <c r="A13" s="6"/>
      <c r="B13" s="4"/>
    </row>
    <row r="14" spans="1:2" x14ac:dyDescent="0.3">
      <c r="A14" s="3" t="s">
        <v>19</v>
      </c>
      <c r="B14" s="4"/>
    </row>
    <row r="15" spans="1:2" x14ac:dyDescent="0.3">
      <c r="A15" s="5" t="s">
        <v>20</v>
      </c>
      <c r="B15" s="4" t="s">
        <v>21</v>
      </c>
    </row>
    <row r="16" spans="1:2" x14ac:dyDescent="0.3">
      <c r="A16" s="5" t="s">
        <v>22</v>
      </c>
      <c r="B16" s="4" t="s">
        <v>23</v>
      </c>
    </row>
    <row r="17" spans="1:2" x14ac:dyDescent="0.3">
      <c r="A17" s="5" t="s">
        <v>24</v>
      </c>
      <c r="B17" s="4" t="s">
        <v>25</v>
      </c>
    </row>
    <row r="18" spans="1:2" x14ac:dyDescent="0.3">
      <c r="A18" s="5" t="s">
        <v>26</v>
      </c>
      <c r="B18" s="4" t="s">
        <v>27</v>
      </c>
    </row>
    <row r="19" spans="1:2" x14ac:dyDescent="0.3">
      <c r="A19" s="5" t="s">
        <v>28</v>
      </c>
      <c r="B19" s="4" t="s">
        <v>29</v>
      </c>
    </row>
    <row r="20" spans="1:2" x14ac:dyDescent="0.3">
      <c r="A20" s="5" t="s">
        <v>30</v>
      </c>
      <c r="B20" s="4" t="s">
        <v>31</v>
      </c>
    </row>
    <row r="21" spans="1:2" x14ac:dyDescent="0.3">
      <c r="A21" s="5" t="s">
        <v>32</v>
      </c>
      <c r="B21" s="4" t="s">
        <v>33</v>
      </c>
    </row>
    <row r="22" spans="1:2" x14ac:dyDescent="0.3">
      <c r="A22" s="5" t="s">
        <v>34</v>
      </c>
      <c r="B22" s="4" t="s">
        <v>35</v>
      </c>
    </row>
    <row r="23" spans="1:2" x14ac:dyDescent="0.3">
      <c r="A23" s="5" t="s">
        <v>36</v>
      </c>
      <c r="B23" s="4" t="s">
        <v>37</v>
      </c>
    </row>
    <row r="24" spans="1:2" x14ac:dyDescent="0.3">
      <c r="A24" s="6"/>
      <c r="B24" s="4"/>
    </row>
    <row r="25" spans="1:2" x14ac:dyDescent="0.3">
      <c r="A25" s="3" t="s">
        <v>38</v>
      </c>
      <c r="B25" s="4"/>
    </row>
    <row r="26" spans="1:2" x14ac:dyDescent="0.3">
      <c r="A26" s="5" t="s">
        <v>39</v>
      </c>
      <c r="B26" s="4" t="s">
        <v>40</v>
      </c>
    </row>
    <row r="27" spans="1:2" x14ac:dyDescent="0.3">
      <c r="A27" s="5" t="s">
        <v>41</v>
      </c>
      <c r="B27" s="4" t="s">
        <v>42</v>
      </c>
    </row>
    <row r="28" spans="1:2" x14ac:dyDescent="0.3">
      <c r="A28" s="5" t="s">
        <v>43</v>
      </c>
      <c r="B28" s="4" t="s">
        <v>44</v>
      </c>
    </row>
    <row r="29" spans="1:2" x14ac:dyDescent="0.3">
      <c r="A29" s="5" t="s">
        <v>45</v>
      </c>
      <c r="B29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zoomScaleNormal="100" workbookViewId="0">
      <selection activeCell="B12" sqref="B12"/>
    </sheetView>
  </sheetViews>
  <sheetFormatPr defaultColWidth="8.6640625" defaultRowHeight="14.4" x14ac:dyDescent="0.3"/>
  <cols>
    <col min="1" max="1" width="34" customWidth="1"/>
    <col min="2" max="2" width="90" customWidth="1"/>
  </cols>
  <sheetData>
    <row r="1" spans="1:3" ht="17.399999999999999" x14ac:dyDescent="0.3">
      <c r="A1" s="1" t="s">
        <v>47</v>
      </c>
    </row>
    <row r="2" spans="1:3" x14ac:dyDescent="0.3">
      <c r="A2" s="2" t="s">
        <v>48</v>
      </c>
    </row>
    <row r="4" spans="1:3" x14ac:dyDescent="0.3">
      <c r="A4" s="7" t="s">
        <v>49</v>
      </c>
      <c r="B4" s="8" t="s">
        <v>495</v>
      </c>
    </row>
    <row r="5" spans="1:3" x14ac:dyDescent="0.3">
      <c r="A5" s="7" t="s">
        <v>50</v>
      </c>
      <c r="B5" s="8" t="s">
        <v>496</v>
      </c>
    </row>
    <row r="6" spans="1:3" x14ac:dyDescent="0.3">
      <c r="A6" s="7" t="s">
        <v>51</v>
      </c>
      <c r="B6" s="20" t="s">
        <v>497</v>
      </c>
      <c r="C6" s="9" t="s">
        <v>52</v>
      </c>
    </row>
    <row r="7" spans="1:3" x14ac:dyDescent="0.3">
      <c r="A7" s="7" t="s">
        <v>53</v>
      </c>
      <c r="B7" s="21">
        <v>46323</v>
      </c>
      <c r="C7" s="9" t="s">
        <v>54</v>
      </c>
    </row>
    <row r="8" spans="1:3" x14ac:dyDescent="0.3">
      <c r="A8" s="7" t="s">
        <v>55</v>
      </c>
      <c r="B8" s="8"/>
      <c r="C8" s="9" t="s">
        <v>56</v>
      </c>
    </row>
    <row r="9" spans="1:3" x14ac:dyDescent="0.3">
      <c r="A9" s="7" t="s">
        <v>57</v>
      </c>
      <c r="B9" s="8"/>
      <c r="C9" s="9" t="s">
        <v>58</v>
      </c>
    </row>
    <row r="10" spans="1:3" x14ac:dyDescent="0.3">
      <c r="A10" s="7" t="s">
        <v>59</v>
      </c>
      <c r="B10" s="22">
        <v>0.84722222222222221</v>
      </c>
      <c r="C10" s="9" t="s">
        <v>60</v>
      </c>
    </row>
    <row r="11" spans="1:3" x14ac:dyDescent="0.3">
      <c r="A11" s="7" t="s">
        <v>61</v>
      </c>
      <c r="B11" s="8" t="s">
        <v>498</v>
      </c>
      <c r="C11" s="9" t="s">
        <v>60</v>
      </c>
    </row>
  </sheetData>
  <hyperlinks>
    <hyperlink ref="B6" r:id="rId1" xr:uid="{911120B8-5D27-400F-AC83-82B8AF0B7324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5" sqref="D5"/>
    </sheetView>
  </sheetViews>
  <sheetFormatPr defaultColWidth="8.6640625" defaultRowHeight="14.4" x14ac:dyDescent="0.3"/>
  <cols>
    <col min="1" max="1" width="12" customWidth="1"/>
    <col min="2" max="2" width="60" customWidth="1"/>
    <col min="3" max="3" width="14" customWidth="1"/>
    <col min="4" max="4" width="60" customWidth="1"/>
  </cols>
  <sheetData>
    <row r="1" spans="1:4" ht="17.399999999999999" x14ac:dyDescent="0.3">
      <c r="A1" s="1" t="s">
        <v>62</v>
      </c>
    </row>
    <row r="2" spans="1:4" x14ac:dyDescent="0.3">
      <c r="A2" s="2" t="s">
        <v>63</v>
      </c>
    </row>
    <row r="4" spans="1:4" ht="31.5" customHeight="1" x14ac:dyDescent="0.3">
      <c r="A4" s="10" t="s">
        <v>64</v>
      </c>
      <c r="B4" s="10" t="s">
        <v>65</v>
      </c>
      <c r="C4" s="10" t="s">
        <v>66</v>
      </c>
      <c r="D4" s="10" t="s">
        <v>67</v>
      </c>
    </row>
    <row r="5" spans="1:4" x14ac:dyDescent="0.3">
      <c r="A5" s="7" t="s">
        <v>68</v>
      </c>
      <c r="B5" s="11" t="s">
        <v>69</v>
      </c>
      <c r="C5" s="8" t="s">
        <v>436</v>
      </c>
      <c r="D5" s="8"/>
    </row>
    <row r="6" spans="1:4" x14ac:dyDescent="0.3">
      <c r="A6" s="7" t="s">
        <v>70</v>
      </c>
      <c r="B6" s="11" t="s">
        <v>71</v>
      </c>
      <c r="C6" s="8" t="s">
        <v>436</v>
      </c>
      <c r="D6" s="8"/>
    </row>
    <row r="7" spans="1:4" x14ac:dyDescent="0.3">
      <c r="A7" s="7" t="s">
        <v>72</v>
      </c>
      <c r="B7" s="11" t="s">
        <v>73</v>
      </c>
      <c r="C7" s="8" t="s">
        <v>436</v>
      </c>
      <c r="D7" s="8"/>
    </row>
    <row r="8" spans="1:4" x14ac:dyDescent="0.3">
      <c r="A8" s="7" t="s">
        <v>74</v>
      </c>
      <c r="B8" s="11" t="s">
        <v>75</v>
      </c>
      <c r="C8" s="8" t="s">
        <v>436</v>
      </c>
      <c r="D8" s="8"/>
    </row>
    <row r="9" spans="1:4" x14ac:dyDescent="0.3">
      <c r="A9" s="7" t="s">
        <v>76</v>
      </c>
      <c r="B9" s="11" t="s">
        <v>77</v>
      </c>
      <c r="C9" s="8" t="s">
        <v>436</v>
      </c>
      <c r="D9" s="8"/>
    </row>
    <row r="10" spans="1:4" x14ac:dyDescent="0.3">
      <c r="A10" s="7" t="s">
        <v>78</v>
      </c>
      <c r="B10" s="11" t="s">
        <v>79</v>
      </c>
      <c r="C10" s="8" t="s">
        <v>436</v>
      </c>
      <c r="D10" s="8"/>
    </row>
    <row r="11" spans="1:4" x14ac:dyDescent="0.3">
      <c r="A11" s="7" t="s">
        <v>80</v>
      </c>
      <c r="B11" s="11" t="s">
        <v>81</v>
      </c>
      <c r="C11" s="8" t="s">
        <v>436</v>
      </c>
      <c r="D11" s="8"/>
    </row>
    <row r="12" spans="1:4" x14ac:dyDescent="0.3">
      <c r="A12" s="7" t="s">
        <v>82</v>
      </c>
      <c r="B12" s="11" t="s">
        <v>83</v>
      </c>
      <c r="C12" s="8" t="s">
        <v>436</v>
      </c>
      <c r="D12" s="8"/>
    </row>
    <row r="15" spans="1:4" x14ac:dyDescent="0.3">
      <c r="A15" s="12" t="s">
        <v>84</v>
      </c>
      <c r="B15" s="13" t="s">
        <v>437</v>
      </c>
    </row>
    <row r="16" spans="1:4" ht="45" customHeight="1" x14ac:dyDescent="0.3">
      <c r="A16" s="12" t="s">
        <v>85</v>
      </c>
      <c r="B16" s="13" t="s">
        <v>499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200-000000000000}">
          <x14:formula1>
            <xm:f>Listas!$J$2:$J$3</xm:f>
          </x14:formula1>
          <x14:formula2>
            <xm:f>0</xm:f>
          </x14:formula2>
          <xm:sqref>C5:C12</xm:sqref>
        </x14:dataValidation>
        <x14:dataValidation type="list" allowBlank="1" showErrorMessage="1" errorTitle="Valor inválido" error="Escolha um valor da lista." xr:uid="{00000000-0002-0000-0200-000001000000}">
          <x14:formula1>
            <xm:f>Listas!$K$2:$K$3</xm:f>
          </x14:formula1>
          <x14:formula2>
            <xm:f>0</xm:f>
          </x14:formula2>
          <xm:sqref>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8" sqref="C18"/>
    </sheetView>
  </sheetViews>
  <sheetFormatPr defaultColWidth="8.6640625" defaultRowHeight="14.4" x14ac:dyDescent="0.3"/>
  <cols>
    <col min="1" max="1" width="10" customWidth="1"/>
    <col min="2" max="2" width="9" customWidth="1"/>
    <col min="3" max="3" width="45" customWidth="1"/>
    <col min="4" max="4" width="18" customWidth="1"/>
    <col min="5" max="6" width="50" customWidth="1"/>
  </cols>
  <sheetData>
    <row r="1" spans="1:6" ht="17.399999999999999" x14ac:dyDescent="0.3">
      <c r="A1" s="1" t="s">
        <v>86</v>
      </c>
    </row>
    <row r="2" spans="1:6" x14ac:dyDescent="0.3">
      <c r="A2" s="2" t="s">
        <v>87</v>
      </c>
    </row>
    <row r="4" spans="1:6" ht="31.5" customHeight="1" x14ac:dyDescent="0.3">
      <c r="A4" s="10" t="s">
        <v>64</v>
      </c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</row>
    <row r="5" spans="1:6" ht="26.4" x14ac:dyDescent="0.3">
      <c r="A5" s="14" t="s">
        <v>93</v>
      </c>
      <c r="B5" s="14" t="s">
        <v>94</v>
      </c>
      <c r="C5" s="14" t="s">
        <v>95</v>
      </c>
      <c r="D5" s="14" t="s">
        <v>96</v>
      </c>
      <c r="E5" s="14" t="s">
        <v>97</v>
      </c>
      <c r="F5" s="14" t="s">
        <v>98</v>
      </c>
    </row>
    <row r="6" spans="1:6" ht="26.4" x14ac:dyDescent="0.3">
      <c r="A6" s="7" t="s">
        <v>99</v>
      </c>
      <c r="B6" s="8"/>
      <c r="C6" s="8" t="s">
        <v>500</v>
      </c>
      <c r="D6" s="8" t="s">
        <v>460</v>
      </c>
      <c r="E6" s="8" t="s">
        <v>505</v>
      </c>
      <c r="F6" s="8"/>
    </row>
    <row r="7" spans="1:6" ht="39.6" x14ac:dyDescent="0.3">
      <c r="A7" s="7" t="s">
        <v>100</v>
      </c>
      <c r="B7" s="8"/>
      <c r="C7" s="8" t="s">
        <v>501</v>
      </c>
      <c r="D7" s="8" t="s">
        <v>96</v>
      </c>
      <c r="E7" s="8" t="s">
        <v>506</v>
      </c>
      <c r="F7" s="8"/>
    </row>
    <row r="8" spans="1:6" x14ac:dyDescent="0.3">
      <c r="A8" s="7" t="s">
        <v>101</v>
      </c>
      <c r="B8" s="8"/>
      <c r="C8" s="8" t="s">
        <v>502</v>
      </c>
      <c r="D8" s="8" t="s">
        <v>460</v>
      </c>
      <c r="E8" s="8" t="s">
        <v>508</v>
      </c>
      <c r="F8" s="8"/>
    </row>
    <row r="9" spans="1:6" x14ac:dyDescent="0.3">
      <c r="A9" s="7" t="s">
        <v>102</v>
      </c>
      <c r="B9" s="8"/>
      <c r="C9" s="8" t="s">
        <v>503</v>
      </c>
      <c r="D9" s="8" t="s">
        <v>441</v>
      </c>
      <c r="E9" s="8" t="s">
        <v>507</v>
      </c>
      <c r="F9" s="8"/>
    </row>
    <row r="10" spans="1:6" x14ac:dyDescent="0.3">
      <c r="A10" s="7" t="s">
        <v>103</v>
      </c>
      <c r="B10" s="8"/>
      <c r="C10" s="8" t="s">
        <v>504</v>
      </c>
      <c r="D10" s="8" t="s">
        <v>460</v>
      </c>
      <c r="E10" s="8" t="s">
        <v>509</v>
      </c>
      <c r="F10" s="8"/>
    </row>
    <row r="11" spans="1:6" x14ac:dyDescent="0.3">
      <c r="A11" s="7" t="s">
        <v>104</v>
      </c>
      <c r="B11" s="8"/>
      <c r="C11" s="8"/>
      <c r="D11" s="8"/>
      <c r="E11" s="8"/>
      <c r="F11" s="8"/>
    </row>
    <row r="12" spans="1:6" x14ac:dyDescent="0.3">
      <c r="A12" s="7" t="s">
        <v>105</v>
      </c>
      <c r="B12" s="8"/>
      <c r="C12" s="8"/>
      <c r="D12" s="8"/>
      <c r="E12" s="8"/>
      <c r="F12" s="8"/>
    </row>
    <row r="13" spans="1:6" x14ac:dyDescent="0.3">
      <c r="A13" s="7" t="s">
        <v>106</v>
      </c>
      <c r="B13" s="8"/>
      <c r="C13" s="8"/>
      <c r="D13" s="8"/>
      <c r="E13" s="8"/>
      <c r="F13" s="8"/>
    </row>
    <row r="14" spans="1:6" x14ac:dyDescent="0.3">
      <c r="A14" s="7" t="s">
        <v>107</v>
      </c>
      <c r="B14" s="8"/>
      <c r="C14" s="8"/>
      <c r="D14" s="8"/>
      <c r="E14" s="8"/>
      <c r="F14" s="8"/>
    </row>
    <row r="15" spans="1:6" x14ac:dyDescent="0.3">
      <c r="A15" s="7" t="s">
        <v>108</v>
      </c>
      <c r="B15" s="8"/>
      <c r="C15" s="8"/>
      <c r="D15" s="8"/>
      <c r="E15" s="8"/>
      <c r="F1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300-000000000000}">
          <x14:formula1>
            <xm:f>Listas!$A$2:$A$22</xm:f>
          </x14:formula1>
          <x14:formula2>
            <xm:f>0</xm:f>
          </x14:formula2>
          <xm:sqref>B6:B15</xm:sqref>
        </x14:dataValidation>
        <x14:dataValidation type="list" allowBlank="1" showErrorMessage="1" errorTitle="Valor inválido" error="Escolha um valor da lista." xr:uid="{00000000-0002-0000-0300-000001000000}">
          <x14:formula1>
            <xm:f>Listas!$O$2:$O$5</xm:f>
          </x14:formula1>
          <x14:formula2>
            <xm:f>0</xm:f>
          </x14:formula2>
          <xm:sqref>D6:D15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showGridLines="0" topLeftCell="A12" zoomScaleNormal="100" workbookViewId="0">
      <selection activeCell="A32" sqref="A32"/>
    </sheetView>
  </sheetViews>
  <sheetFormatPr defaultColWidth="8.6640625" defaultRowHeight="14.4" x14ac:dyDescent="0.3"/>
  <cols>
    <col min="1" max="1" width="34" customWidth="1"/>
    <col min="2" max="2" width="90" customWidth="1"/>
    <col min="3" max="3" width="60" customWidth="1"/>
  </cols>
  <sheetData>
    <row r="1" spans="1:3" ht="17.399999999999999" x14ac:dyDescent="0.3">
      <c r="A1" s="1" t="s">
        <v>109</v>
      </c>
    </row>
    <row r="2" spans="1:3" x14ac:dyDescent="0.3">
      <c r="A2" s="2" t="s">
        <v>110</v>
      </c>
    </row>
    <row r="4" spans="1:3" ht="42" customHeight="1" x14ac:dyDescent="0.3">
      <c r="A4" s="7" t="s">
        <v>111</v>
      </c>
      <c r="B4" s="8" t="s">
        <v>510</v>
      </c>
    </row>
    <row r="5" spans="1:3" ht="42" customHeight="1" x14ac:dyDescent="0.3">
      <c r="A5" s="7" t="s">
        <v>112</v>
      </c>
      <c r="B5" s="8" t="s">
        <v>511</v>
      </c>
      <c r="C5" s="9" t="s">
        <v>113</v>
      </c>
    </row>
    <row r="6" spans="1:3" ht="42" customHeight="1" x14ac:dyDescent="0.3">
      <c r="A6" s="7" t="s">
        <v>114</v>
      </c>
      <c r="B6" s="8" t="s">
        <v>512</v>
      </c>
    </row>
    <row r="7" spans="1:3" ht="42" customHeight="1" x14ac:dyDescent="0.3">
      <c r="A7" s="7" t="s">
        <v>115</v>
      </c>
      <c r="B7" s="8" t="s">
        <v>442</v>
      </c>
      <c r="C7" s="9" t="s">
        <v>116</v>
      </c>
    </row>
    <row r="8" spans="1:3" ht="42" customHeight="1" x14ac:dyDescent="0.3">
      <c r="A8" s="7" t="s">
        <v>117</v>
      </c>
      <c r="B8" s="8" t="s">
        <v>519</v>
      </c>
    </row>
    <row r="9" spans="1:3" ht="42" customHeight="1" x14ac:dyDescent="0.3">
      <c r="A9" s="7" t="s">
        <v>118</v>
      </c>
      <c r="B9" s="8" t="s">
        <v>513</v>
      </c>
      <c r="C9" s="9" t="s">
        <v>119</v>
      </c>
    </row>
    <row r="10" spans="1:3" ht="42" customHeight="1" x14ac:dyDescent="0.3">
      <c r="A10" s="7" t="s">
        <v>120</v>
      </c>
      <c r="B10" s="8" t="s">
        <v>514</v>
      </c>
      <c r="C10" s="9" t="s">
        <v>121</v>
      </c>
    </row>
    <row r="11" spans="1:3" ht="42" customHeight="1" x14ac:dyDescent="0.3">
      <c r="A11" s="7" t="s">
        <v>122</v>
      </c>
      <c r="B11" s="8" t="s">
        <v>517</v>
      </c>
      <c r="C11" s="9" t="s">
        <v>123</v>
      </c>
    </row>
    <row r="12" spans="1:3" ht="42" customHeight="1" x14ac:dyDescent="0.3">
      <c r="A12" s="7" t="s">
        <v>124</v>
      </c>
      <c r="B12" s="8" t="s">
        <v>518</v>
      </c>
      <c r="C12" s="9" t="s">
        <v>125</v>
      </c>
    </row>
    <row r="13" spans="1:3" ht="42" customHeight="1" x14ac:dyDescent="0.3">
      <c r="A13" s="7" t="s">
        <v>126</v>
      </c>
      <c r="B13" s="8" t="s">
        <v>515</v>
      </c>
      <c r="C13" s="9" t="s">
        <v>127</v>
      </c>
    </row>
    <row r="14" spans="1:3" ht="42" customHeight="1" x14ac:dyDescent="0.3">
      <c r="A14" s="7" t="s">
        <v>128</v>
      </c>
      <c r="B14" s="8" t="s">
        <v>516</v>
      </c>
      <c r="C14" s="9" t="s">
        <v>129</v>
      </c>
    </row>
    <row r="17" spans="1:3" x14ac:dyDescent="0.3">
      <c r="A17" s="3" t="s">
        <v>130</v>
      </c>
    </row>
    <row r="18" spans="1:3" x14ac:dyDescent="0.3">
      <c r="A18" s="10" t="s">
        <v>131</v>
      </c>
      <c r="B18" s="10" t="s">
        <v>132</v>
      </c>
      <c r="C18" s="10" t="s">
        <v>133</v>
      </c>
    </row>
    <row r="19" spans="1:3" x14ac:dyDescent="0.3">
      <c r="A19" s="12" t="s">
        <v>134</v>
      </c>
      <c r="B19" s="8" t="s">
        <v>435</v>
      </c>
      <c r="C19" s="8"/>
    </row>
    <row r="20" spans="1:3" x14ac:dyDescent="0.3">
      <c r="A20" s="12" t="s">
        <v>135</v>
      </c>
      <c r="B20" s="8" t="s">
        <v>435</v>
      </c>
      <c r="C20" s="8"/>
    </row>
    <row r="21" spans="1:3" x14ac:dyDescent="0.3">
      <c r="A21" s="12" t="s">
        <v>136</v>
      </c>
      <c r="B21" s="8" t="s">
        <v>448</v>
      </c>
      <c r="C21" s="8"/>
    </row>
    <row r="22" spans="1:3" x14ac:dyDescent="0.3">
      <c r="A22" s="12" t="s">
        <v>137</v>
      </c>
      <c r="B22" s="8" t="s">
        <v>435</v>
      </c>
      <c r="C22" s="8"/>
    </row>
    <row r="23" spans="1:3" x14ac:dyDescent="0.3">
      <c r="A23" s="12" t="s">
        <v>138</v>
      </c>
      <c r="B23" s="8" t="s">
        <v>435</v>
      </c>
      <c r="C23" s="8"/>
    </row>
    <row r="24" spans="1:3" x14ac:dyDescent="0.3">
      <c r="A24" s="12" t="s">
        <v>139</v>
      </c>
      <c r="B24" s="8" t="s">
        <v>435</v>
      </c>
      <c r="C24" s="8"/>
    </row>
    <row r="25" spans="1:3" x14ac:dyDescent="0.3">
      <c r="A25" s="12" t="s">
        <v>140</v>
      </c>
      <c r="B25" s="8" t="s">
        <v>435</v>
      </c>
      <c r="C25" s="8"/>
    </row>
    <row r="26" spans="1:3" x14ac:dyDescent="0.3">
      <c r="A26" s="12" t="s">
        <v>141</v>
      </c>
      <c r="B26" s="8" t="s">
        <v>435</v>
      </c>
      <c r="C26" s="8"/>
    </row>
    <row r="27" spans="1:3" x14ac:dyDescent="0.3">
      <c r="A27" s="12" t="s">
        <v>142</v>
      </c>
      <c r="B27" s="8" t="s">
        <v>448</v>
      </c>
      <c r="C27" s="8"/>
    </row>
    <row r="28" spans="1:3" x14ac:dyDescent="0.3">
      <c r="A28" s="12" t="s">
        <v>143</v>
      </c>
      <c r="B28" s="8" t="s">
        <v>435</v>
      </c>
      <c r="C28" s="8"/>
    </row>
    <row r="29" spans="1:3" x14ac:dyDescent="0.3">
      <c r="A29" s="12" t="s">
        <v>144</v>
      </c>
      <c r="B29" s="8" t="s">
        <v>435</v>
      </c>
      <c r="C29" s="8"/>
    </row>
    <row r="30" spans="1:3" x14ac:dyDescent="0.3">
      <c r="A30" s="12" t="s">
        <v>145</v>
      </c>
      <c r="B30" s="8" t="s">
        <v>435</v>
      </c>
      <c r="C30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400-000000000000}">
          <x14:formula1>
            <xm:f>Listas!$P$2:$P$4</xm:f>
          </x14:formula1>
          <x14:formula2>
            <xm:f>0</xm:f>
          </x14:formula2>
          <xm:sqref>B7</xm:sqref>
        </x14:dataValidation>
        <x14:dataValidation type="list" allowBlank="1" showErrorMessage="1" errorTitle="Valor inválido" error="Escolha um valor da lista." xr:uid="{00000000-0002-0000-0400-000001000000}">
          <x14:formula1>
            <xm:f>Listas!$I$2:$I$3</xm:f>
          </x14:formula1>
          <x14:formula2>
            <xm:f>0</xm:f>
          </x14:formula2>
          <xm:sqref>B19:B30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5"/>
  <sheetViews>
    <sheetView showGridLines="0" zoomScale="85" zoomScaleNormal="85" workbookViewId="0">
      <pane xSplit="1" ySplit="5" topLeftCell="K15" activePane="bottomRight" state="frozen"/>
      <selection pane="topRight" activeCell="B1" sqref="B1"/>
      <selection pane="bottomLeft" activeCell="A6" sqref="A6"/>
      <selection pane="bottomRight" activeCell="O20" sqref="O20"/>
    </sheetView>
  </sheetViews>
  <sheetFormatPr defaultColWidth="8.6640625" defaultRowHeight="14.4" x14ac:dyDescent="0.3"/>
  <cols>
    <col min="1" max="1" width="9" customWidth="1"/>
    <col min="2" max="2" width="8" customWidth="1"/>
    <col min="3" max="3" width="9" customWidth="1"/>
    <col min="4" max="4" width="20" customWidth="1"/>
    <col min="5" max="5" width="15" customWidth="1"/>
    <col min="6" max="6" width="12" customWidth="1"/>
    <col min="7" max="7" width="34" customWidth="1"/>
    <col min="8" max="8" width="28" customWidth="1"/>
    <col min="9" max="9" width="40" customWidth="1"/>
    <col min="10" max="10" width="24" customWidth="1"/>
    <col min="11" max="12" width="32" customWidth="1"/>
    <col min="13" max="13" width="13" customWidth="1"/>
    <col min="14" max="14" width="12" customWidth="1"/>
    <col min="15" max="15" width="16" customWidth="1"/>
  </cols>
  <sheetData>
    <row r="1" spans="1:15" ht="17.399999999999999" x14ac:dyDescent="0.3">
      <c r="A1" s="1" t="s">
        <v>146</v>
      </c>
    </row>
    <row r="2" spans="1:15" x14ac:dyDescent="0.3">
      <c r="A2" s="2" t="s">
        <v>147</v>
      </c>
    </row>
    <row r="4" spans="1:15" ht="31.5" customHeight="1" x14ac:dyDescent="0.3">
      <c r="A4" s="10" t="s">
        <v>64</v>
      </c>
      <c r="B4" s="10" t="s">
        <v>88</v>
      </c>
      <c r="C4" s="10" t="s">
        <v>148</v>
      </c>
      <c r="D4" s="10" t="s">
        <v>149</v>
      </c>
      <c r="E4" s="10" t="s">
        <v>131</v>
      </c>
      <c r="F4" s="10" t="s">
        <v>150</v>
      </c>
      <c r="G4" s="10" t="s">
        <v>151</v>
      </c>
      <c r="H4" s="10" t="s">
        <v>152</v>
      </c>
      <c r="I4" s="10" t="s">
        <v>153</v>
      </c>
      <c r="J4" s="10" t="s">
        <v>154</v>
      </c>
      <c r="K4" s="10" t="s">
        <v>155</v>
      </c>
      <c r="L4" s="10" t="s">
        <v>156</v>
      </c>
      <c r="M4" s="10" t="s">
        <v>157</v>
      </c>
      <c r="N4" s="10" t="s">
        <v>158</v>
      </c>
      <c r="O4" s="10" t="s">
        <v>159</v>
      </c>
    </row>
    <row r="5" spans="1:15" ht="39.6" x14ac:dyDescent="0.3">
      <c r="A5" s="14" t="s">
        <v>160</v>
      </c>
      <c r="B5" s="14" t="s">
        <v>94</v>
      </c>
      <c r="C5" s="14" t="s">
        <v>161</v>
      </c>
      <c r="D5" s="14" t="s">
        <v>162</v>
      </c>
      <c r="E5" s="14" t="s">
        <v>134</v>
      </c>
      <c r="F5" s="14" t="s">
        <v>163</v>
      </c>
      <c r="G5" s="14" t="s">
        <v>164</v>
      </c>
      <c r="H5" s="14" t="s">
        <v>165</v>
      </c>
      <c r="I5" s="14" t="s">
        <v>166</v>
      </c>
      <c r="J5" s="14" t="s">
        <v>167</v>
      </c>
      <c r="K5" s="14" t="s">
        <v>168</v>
      </c>
      <c r="L5" s="14" t="s">
        <v>169</v>
      </c>
      <c r="M5" s="14" t="s">
        <v>170</v>
      </c>
      <c r="N5" s="14"/>
      <c r="O5" s="14"/>
    </row>
    <row r="6" spans="1:15" ht="66" x14ac:dyDescent="0.3">
      <c r="A6" s="7" t="s">
        <v>171</v>
      </c>
      <c r="B6" s="8" t="s">
        <v>433</v>
      </c>
      <c r="C6" s="8" t="s">
        <v>520</v>
      </c>
      <c r="D6" s="8" t="s">
        <v>463</v>
      </c>
      <c r="E6" s="8" t="s">
        <v>137</v>
      </c>
      <c r="F6" s="8" t="s">
        <v>163</v>
      </c>
      <c r="G6" s="8" t="s">
        <v>550</v>
      </c>
      <c r="H6" s="8" t="s">
        <v>591</v>
      </c>
      <c r="I6" s="8" t="s">
        <v>551</v>
      </c>
      <c r="J6" s="8" t="s">
        <v>560</v>
      </c>
      <c r="K6" s="8" t="s">
        <v>561</v>
      </c>
      <c r="L6" s="8" t="s">
        <v>561</v>
      </c>
      <c r="M6" s="8" t="s">
        <v>170</v>
      </c>
      <c r="N6" s="8" t="s">
        <v>627</v>
      </c>
      <c r="O6" s="8" t="s">
        <v>629</v>
      </c>
    </row>
    <row r="7" spans="1:15" ht="52.8" x14ac:dyDescent="0.3">
      <c r="A7" s="7" t="s">
        <v>172</v>
      </c>
      <c r="B7" s="8" t="s">
        <v>443</v>
      </c>
      <c r="C7" s="8" t="s">
        <v>548</v>
      </c>
      <c r="D7" s="8" t="s">
        <v>455</v>
      </c>
      <c r="E7" s="8" t="s">
        <v>137</v>
      </c>
      <c r="F7" s="8" t="s">
        <v>163</v>
      </c>
      <c r="G7" s="8" t="s">
        <v>577</v>
      </c>
      <c r="H7" s="8" t="s">
        <v>592</v>
      </c>
      <c r="I7" s="8" t="s">
        <v>563</v>
      </c>
      <c r="J7" s="8" t="s">
        <v>620</v>
      </c>
      <c r="K7" s="8" t="s">
        <v>604</v>
      </c>
      <c r="L7" s="8" t="s">
        <v>605</v>
      </c>
      <c r="M7" s="8" t="s">
        <v>446</v>
      </c>
      <c r="N7" s="8" t="s">
        <v>562</v>
      </c>
      <c r="O7" s="8" t="s">
        <v>630</v>
      </c>
    </row>
    <row r="8" spans="1:15" ht="39.6" x14ac:dyDescent="0.3">
      <c r="A8" s="7" t="s">
        <v>173</v>
      </c>
      <c r="B8" s="8" t="s">
        <v>454</v>
      </c>
      <c r="C8" s="8" t="s">
        <v>549</v>
      </c>
      <c r="D8" s="8" t="s">
        <v>455</v>
      </c>
      <c r="E8" s="8" t="s">
        <v>136</v>
      </c>
      <c r="F8" s="8" t="s">
        <v>163</v>
      </c>
      <c r="G8" s="8" t="s">
        <v>578</v>
      </c>
      <c r="H8" s="23" t="s">
        <v>591</v>
      </c>
      <c r="I8" s="8" t="s">
        <v>564</v>
      </c>
      <c r="J8" s="8" t="s">
        <v>606</v>
      </c>
      <c r="K8" s="8" t="s">
        <v>607</v>
      </c>
      <c r="L8" s="8" t="s">
        <v>607</v>
      </c>
      <c r="M8" s="8" t="s">
        <v>170</v>
      </c>
      <c r="N8" s="8" t="s">
        <v>464</v>
      </c>
      <c r="O8" s="8" t="s">
        <v>630</v>
      </c>
    </row>
    <row r="9" spans="1:15" ht="39.6" x14ac:dyDescent="0.3">
      <c r="A9" s="7" t="s">
        <v>174</v>
      </c>
      <c r="B9" s="8" t="s">
        <v>462</v>
      </c>
      <c r="C9" s="8" t="s">
        <v>521</v>
      </c>
      <c r="D9" s="8" t="s">
        <v>137</v>
      </c>
      <c r="E9" s="8" t="s">
        <v>134</v>
      </c>
      <c r="F9" s="8" t="s">
        <v>163</v>
      </c>
      <c r="G9" s="8" t="s">
        <v>579</v>
      </c>
      <c r="H9" s="8" t="s">
        <v>591</v>
      </c>
      <c r="I9" s="8" t="s">
        <v>565</v>
      </c>
      <c r="J9" s="8" t="s">
        <v>608</v>
      </c>
      <c r="K9" s="8" t="s">
        <v>609</v>
      </c>
      <c r="L9" s="8" t="s">
        <v>609</v>
      </c>
      <c r="M9" s="8" t="s">
        <v>446</v>
      </c>
      <c r="N9" s="8" t="s">
        <v>628</v>
      </c>
      <c r="O9" s="8" t="s">
        <v>630</v>
      </c>
    </row>
    <row r="10" spans="1:15" ht="39.6" x14ac:dyDescent="0.3">
      <c r="A10" s="7" t="s">
        <v>175</v>
      </c>
      <c r="B10" s="8" t="s">
        <v>469</v>
      </c>
      <c r="C10" s="8" t="s">
        <v>522</v>
      </c>
      <c r="D10" s="8" t="s">
        <v>162</v>
      </c>
      <c r="E10" s="8" t="s">
        <v>145</v>
      </c>
      <c r="F10" s="8" t="s">
        <v>163</v>
      </c>
      <c r="G10" s="8" t="s">
        <v>580</v>
      </c>
      <c r="H10" s="8" t="s">
        <v>593</v>
      </c>
      <c r="I10" s="8" t="s">
        <v>566</v>
      </c>
      <c r="J10" s="8" t="s">
        <v>610</v>
      </c>
      <c r="K10" s="8" t="s">
        <v>611</v>
      </c>
      <c r="L10" s="8" t="s">
        <v>611</v>
      </c>
      <c r="M10" s="8" t="s">
        <v>170</v>
      </c>
      <c r="N10" s="8" t="s">
        <v>627</v>
      </c>
      <c r="O10" s="8" t="s">
        <v>630</v>
      </c>
    </row>
    <row r="11" spans="1:15" ht="39.6" x14ac:dyDescent="0.3">
      <c r="A11" s="7" t="s">
        <v>176</v>
      </c>
      <c r="B11" s="8" t="s">
        <v>472</v>
      </c>
      <c r="C11" s="8" t="s">
        <v>523</v>
      </c>
      <c r="D11" s="8" t="s">
        <v>576</v>
      </c>
      <c r="E11" s="8" t="s">
        <v>134</v>
      </c>
      <c r="F11" s="8" t="s">
        <v>145</v>
      </c>
      <c r="G11" s="8" t="s">
        <v>581</v>
      </c>
      <c r="H11" s="8" t="s">
        <v>594</v>
      </c>
      <c r="I11" s="8" t="s">
        <v>567</v>
      </c>
      <c r="J11" s="8" t="s">
        <v>612</v>
      </c>
      <c r="K11" s="8" t="s">
        <v>613</v>
      </c>
      <c r="L11" s="8" t="s">
        <v>613</v>
      </c>
      <c r="M11" s="8" t="s">
        <v>170</v>
      </c>
      <c r="N11" s="8" t="s">
        <v>627</v>
      </c>
      <c r="O11" s="8" t="s">
        <v>630</v>
      </c>
    </row>
    <row r="12" spans="1:15" ht="39.6" x14ac:dyDescent="0.3">
      <c r="A12" s="7" t="s">
        <v>177</v>
      </c>
      <c r="B12" s="8" t="s">
        <v>476</v>
      </c>
      <c r="C12" s="8" t="s">
        <v>524</v>
      </c>
      <c r="D12" s="8" t="s">
        <v>162</v>
      </c>
      <c r="E12" s="8" t="s">
        <v>136</v>
      </c>
      <c r="F12" s="8" t="s">
        <v>163</v>
      </c>
      <c r="G12" s="8" t="s">
        <v>582</v>
      </c>
      <c r="H12" s="8" t="s">
        <v>595</v>
      </c>
      <c r="I12" s="8" t="s">
        <v>567</v>
      </c>
      <c r="J12" s="8" t="s">
        <v>614</v>
      </c>
      <c r="K12" s="8" t="s">
        <v>561</v>
      </c>
      <c r="L12" s="8" t="s">
        <v>615</v>
      </c>
      <c r="M12" s="8" t="s">
        <v>446</v>
      </c>
      <c r="N12" s="8" t="s">
        <v>628</v>
      </c>
      <c r="O12" s="8" t="s">
        <v>630</v>
      </c>
    </row>
    <row r="13" spans="1:15" ht="39.6" x14ac:dyDescent="0.3">
      <c r="A13" s="7" t="s">
        <v>178</v>
      </c>
      <c r="B13" s="8" t="s">
        <v>480</v>
      </c>
      <c r="C13" s="8" t="s">
        <v>525</v>
      </c>
      <c r="D13" s="8" t="s">
        <v>444</v>
      </c>
      <c r="E13" s="8" t="s">
        <v>427</v>
      </c>
      <c r="F13" s="8" t="s">
        <v>163</v>
      </c>
      <c r="G13" s="8" t="s">
        <v>583</v>
      </c>
      <c r="H13" s="8" t="s">
        <v>596</v>
      </c>
      <c r="I13" s="8" t="s">
        <v>568</v>
      </c>
      <c r="J13" s="8" t="s">
        <v>604</v>
      </c>
      <c r="K13" s="8" t="s">
        <v>605</v>
      </c>
      <c r="L13" s="8" t="s">
        <v>617</v>
      </c>
      <c r="M13" s="8" t="s">
        <v>170</v>
      </c>
      <c r="N13" s="8" t="s">
        <v>627</v>
      </c>
      <c r="O13" s="8" t="s">
        <v>629</v>
      </c>
    </row>
    <row r="14" spans="1:15" ht="39.6" x14ac:dyDescent="0.3">
      <c r="A14" s="7" t="s">
        <v>179</v>
      </c>
      <c r="B14" s="8" t="s">
        <v>482</v>
      </c>
      <c r="C14" s="8" t="s">
        <v>526</v>
      </c>
      <c r="D14" s="8" t="s">
        <v>455</v>
      </c>
      <c r="E14" s="8" t="s">
        <v>137</v>
      </c>
      <c r="F14" s="8" t="s">
        <v>163</v>
      </c>
      <c r="G14" s="8" t="s">
        <v>584</v>
      </c>
      <c r="H14" s="8" t="s">
        <v>597</v>
      </c>
      <c r="I14" s="8" t="s">
        <v>569</v>
      </c>
      <c r="J14" s="8" t="s">
        <v>606</v>
      </c>
      <c r="K14" s="8" t="s">
        <v>607</v>
      </c>
      <c r="L14" s="8" t="s">
        <v>621</v>
      </c>
      <c r="M14" s="8" t="s">
        <v>446</v>
      </c>
      <c r="N14" s="8" t="s">
        <v>628</v>
      </c>
      <c r="O14" s="8" t="s">
        <v>630</v>
      </c>
    </row>
    <row r="15" spans="1:15" ht="39.6" x14ac:dyDescent="0.3">
      <c r="A15" s="7" t="s">
        <v>180</v>
      </c>
      <c r="B15" s="8" t="s">
        <v>222</v>
      </c>
      <c r="C15" s="8" t="s">
        <v>527</v>
      </c>
      <c r="D15" s="8" t="s">
        <v>162</v>
      </c>
      <c r="E15" s="8" t="s">
        <v>137</v>
      </c>
      <c r="F15" s="8" t="s">
        <v>163</v>
      </c>
      <c r="G15" s="8" t="s">
        <v>585</v>
      </c>
      <c r="H15" s="8" t="s">
        <v>598</v>
      </c>
      <c r="I15" s="8" t="s">
        <v>570</v>
      </c>
      <c r="J15" s="8" t="s">
        <v>608</v>
      </c>
      <c r="K15" s="8" t="s">
        <v>609</v>
      </c>
      <c r="L15" s="8" t="s">
        <v>622</v>
      </c>
      <c r="M15" s="8" t="s">
        <v>170</v>
      </c>
      <c r="N15" s="8" t="s">
        <v>627</v>
      </c>
      <c r="O15" s="8" t="s">
        <v>630</v>
      </c>
    </row>
    <row r="16" spans="1:15" ht="39.6" x14ac:dyDescent="0.3">
      <c r="A16" s="7" t="s">
        <v>181</v>
      </c>
      <c r="B16" s="8" t="s">
        <v>484</v>
      </c>
      <c r="C16" s="8" t="s">
        <v>528</v>
      </c>
      <c r="D16" s="8" t="s">
        <v>477</v>
      </c>
      <c r="E16" s="8" t="s">
        <v>138</v>
      </c>
      <c r="F16" s="8" t="s">
        <v>163</v>
      </c>
      <c r="G16" s="8" t="s">
        <v>586</v>
      </c>
      <c r="H16" s="8" t="s">
        <v>599</v>
      </c>
      <c r="I16" s="8" t="s">
        <v>571</v>
      </c>
      <c r="J16" s="8" t="s">
        <v>610</v>
      </c>
      <c r="K16" s="8" t="s">
        <v>611</v>
      </c>
      <c r="L16" s="8" t="s">
        <v>623</v>
      </c>
      <c r="M16" s="8" t="s">
        <v>170</v>
      </c>
      <c r="N16" s="8" t="s">
        <v>627</v>
      </c>
      <c r="O16" s="8" t="s">
        <v>630</v>
      </c>
    </row>
    <row r="17" spans="1:15" ht="39.6" x14ac:dyDescent="0.3">
      <c r="A17" s="7" t="s">
        <v>182</v>
      </c>
      <c r="B17" s="8" t="s">
        <v>486</v>
      </c>
      <c r="C17" s="8" t="s">
        <v>529</v>
      </c>
      <c r="D17" s="8" t="s">
        <v>162</v>
      </c>
      <c r="E17" s="8" t="s">
        <v>138</v>
      </c>
      <c r="F17" s="8" t="s">
        <v>163</v>
      </c>
      <c r="G17" s="8" t="s">
        <v>587</v>
      </c>
      <c r="H17" s="8" t="s">
        <v>600</v>
      </c>
      <c r="I17" s="8" t="s">
        <v>572</v>
      </c>
      <c r="J17" s="8" t="s">
        <v>612</v>
      </c>
      <c r="K17" s="8" t="s">
        <v>613</v>
      </c>
      <c r="L17" s="8" t="s">
        <v>619</v>
      </c>
      <c r="M17" s="8" t="s">
        <v>446</v>
      </c>
      <c r="N17" s="8" t="s">
        <v>628</v>
      </c>
      <c r="O17" s="8" t="s">
        <v>630</v>
      </c>
    </row>
    <row r="18" spans="1:15" ht="39.6" x14ac:dyDescent="0.3">
      <c r="A18" s="7" t="s">
        <v>183</v>
      </c>
      <c r="B18" s="8" t="s">
        <v>94</v>
      </c>
      <c r="C18" s="8"/>
      <c r="D18" s="8" t="s">
        <v>162</v>
      </c>
      <c r="E18" s="8" t="s">
        <v>137</v>
      </c>
      <c r="F18" s="8" t="s">
        <v>163</v>
      </c>
      <c r="G18" s="8" t="s">
        <v>588</v>
      </c>
      <c r="H18" s="8" t="s">
        <v>601</v>
      </c>
      <c r="I18" s="8" t="s">
        <v>573</v>
      </c>
      <c r="J18" s="8" t="s">
        <v>614</v>
      </c>
      <c r="K18" s="8" t="s">
        <v>615</v>
      </c>
      <c r="L18" s="8" t="s">
        <v>624</v>
      </c>
      <c r="M18" s="8" t="s">
        <v>170</v>
      </c>
      <c r="N18" s="8" t="s">
        <v>627</v>
      </c>
      <c r="O18" s="8" t="s">
        <v>630</v>
      </c>
    </row>
    <row r="19" spans="1:15" ht="39.6" x14ac:dyDescent="0.3">
      <c r="A19" s="7" t="s">
        <v>184</v>
      </c>
      <c r="B19" s="8" t="s">
        <v>487</v>
      </c>
      <c r="C19" s="8"/>
      <c r="D19" s="8" t="s">
        <v>137</v>
      </c>
      <c r="E19" s="8" t="s">
        <v>137</v>
      </c>
      <c r="F19" s="8" t="s">
        <v>163</v>
      </c>
      <c r="G19" s="8" t="s">
        <v>589</v>
      </c>
      <c r="H19" s="8" t="s">
        <v>602</v>
      </c>
      <c r="I19" s="8" t="s">
        <v>574</v>
      </c>
      <c r="J19" s="8" t="s">
        <v>616</v>
      </c>
      <c r="K19" s="8" t="s">
        <v>617</v>
      </c>
      <c r="L19" s="8" t="s">
        <v>625</v>
      </c>
      <c r="M19" s="8" t="s">
        <v>170</v>
      </c>
      <c r="N19" s="8" t="s">
        <v>627</v>
      </c>
      <c r="O19" s="8" t="s">
        <v>630</v>
      </c>
    </row>
    <row r="20" spans="1:15" ht="52.8" x14ac:dyDescent="0.3">
      <c r="A20" s="7" t="s">
        <v>185</v>
      </c>
      <c r="B20" s="8" t="s">
        <v>489</v>
      </c>
      <c r="C20" s="8"/>
      <c r="D20" s="8" t="s">
        <v>455</v>
      </c>
      <c r="E20" s="8" t="s">
        <v>136</v>
      </c>
      <c r="F20" s="8" t="s">
        <v>163</v>
      </c>
      <c r="G20" s="8" t="s">
        <v>590</v>
      </c>
      <c r="H20" s="8" t="s">
        <v>603</v>
      </c>
      <c r="I20" s="8" t="s">
        <v>575</v>
      </c>
      <c r="J20" s="8" t="s">
        <v>618</v>
      </c>
      <c r="K20" s="8" t="s">
        <v>619</v>
      </c>
      <c r="L20" s="8" t="s">
        <v>626</v>
      </c>
      <c r="M20" s="8" t="s">
        <v>446</v>
      </c>
      <c r="N20" s="8" t="s">
        <v>628</v>
      </c>
      <c r="O20" s="8" t="s">
        <v>630</v>
      </c>
    </row>
    <row r="21" spans="1:15" x14ac:dyDescent="0.3">
      <c r="A21" s="7" t="s">
        <v>186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7" t="s">
        <v>187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7" t="s">
        <v>188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7" t="s">
        <v>189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7" t="s">
        <v>190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7" t="s">
        <v>191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7" t="s">
        <v>192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7" t="s">
        <v>193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7" t="s">
        <v>194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7" t="s">
        <v>195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7" t="s">
        <v>196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7" t="s">
        <v>197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7" t="s">
        <v>198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7" t="s">
        <v>199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7" t="s">
        <v>200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3">
      <c r="A36" s="7" t="s">
        <v>201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7" t="s">
        <v>202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7" t="s">
        <v>203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7" t="s">
        <v>204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">
      <c r="A40" s="7" t="s">
        <v>205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">
      <c r="A41" s="7" t="s">
        <v>206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7" t="s">
        <v>207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">
      <c r="A43" s="7" t="s">
        <v>208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7" t="s">
        <v>209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">
      <c r="A45" s="7" t="s">
        <v>210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Valor inválido" error="Escolha um valor da lista." xr:uid="{00000000-0002-0000-0500-000000000000}">
          <x14:formula1>
            <xm:f>Listas!$A$2:$A$22</xm:f>
          </x14:formula1>
          <x14:formula2>
            <xm:f>0</xm:f>
          </x14:formula2>
          <xm:sqref>B6:B45</xm:sqref>
        </x14:dataValidation>
        <x14:dataValidation type="list" allowBlank="1" showErrorMessage="1" errorTitle="Valor inválido" error="Escolha um valor da lista." xr:uid="{00000000-0002-0000-0500-000001000000}">
          <x14:formula1>
            <xm:f>Listas!$B$2:$B$9</xm:f>
          </x14:formula1>
          <x14:formula2>
            <xm:f>0</xm:f>
          </x14:formula2>
          <xm:sqref>D6:D45</xm:sqref>
        </x14:dataValidation>
        <x14:dataValidation type="list" allowBlank="1" showErrorMessage="1" errorTitle="Valor inválido" error="Escolha um valor da lista." xr:uid="{00000000-0002-0000-0500-000002000000}">
          <x14:formula1>
            <xm:f>Listas!$C$2:$C$15</xm:f>
          </x14:formula1>
          <x14:formula2>
            <xm:f>0</xm:f>
          </x14:formula2>
          <xm:sqref>E6:E45</xm:sqref>
        </x14:dataValidation>
        <x14:dataValidation type="list" allowBlank="1" showErrorMessage="1" errorTitle="Valor inválido" error="Escolha um valor da lista." xr:uid="{00000000-0002-0000-0500-000003000000}">
          <x14:formula1>
            <xm:f>Listas!$D$2:$D$5</xm:f>
          </x14:formula1>
          <x14:formula2>
            <xm:f>0</xm:f>
          </x14:formula2>
          <xm:sqref>F6:F45</xm:sqref>
        </x14:dataValidation>
        <x14:dataValidation type="list" allowBlank="1" showErrorMessage="1" errorTitle="Valor inválido" error="Escolha um valor da lista." xr:uid="{00000000-0002-0000-0500-000004000000}">
          <x14:formula1>
            <xm:f>Listas!$E$2:$E$5</xm:f>
          </x14:formula1>
          <x14:formula2>
            <xm:f>0</xm:f>
          </x14:formula2>
          <xm:sqref>M6:M45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5"/>
  <sheetViews>
    <sheetView showGridLines="0" tabSelected="1" zoomScaleNormal="100" workbookViewId="0">
      <pane xSplit="1" ySplit="5" topLeftCell="B21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9" customWidth="1"/>
    <col min="2" max="2" width="34" customWidth="1"/>
    <col min="3" max="3" width="10" customWidth="1"/>
    <col min="4" max="4" width="9" customWidth="1"/>
    <col min="5" max="5" width="11" customWidth="1"/>
    <col min="6" max="6" width="15" customWidth="1"/>
    <col min="7" max="8" width="11" customWidth="1"/>
    <col min="9" max="9" width="44" customWidth="1"/>
    <col min="10" max="10" width="24" customWidth="1"/>
    <col min="11" max="12" width="32" customWidth="1"/>
    <col min="13" max="13" width="16" customWidth="1"/>
    <col min="14" max="14" width="18" customWidth="1"/>
    <col min="15" max="15" width="9" customWidth="1"/>
  </cols>
  <sheetData>
    <row r="1" spans="1:15" ht="17.399999999999999" x14ac:dyDescent="0.3">
      <c r="A1" s="1" t="s">
        <v>211</v>
      </c>
    </row>
    <row r="2" spans="1:15" x14ac:dyDescent="0.3">
      <c r="A2" s="2" t="s">
        <v>212</v>
      </c>
    </row>
    <row r="4" spans="1:15" ht="31.5" customHeight="1" x14ac:dyDescent="0.3">
      <c r="A4" s="10" t="s">
        <v>64</v>
      </c>
      <c r="B4" s="10" t="s">
        <v>151</v>
      </c>
      <c r="C4" s="10" t="s">
        <v>213</v>
      </c>
      <c r="D4" s="10" t="s">
        <v>148</v>
      </c>
      <c r="E4" s="10" t="s">
        <v>214</v>
      </c>
      <c r="F4" s="10" t="s">
        <v>131</v>
      </c>
      <c r="G4" s="10" t="s">
        <v>38</v>
      </c>
      <c r="H4" s="10" t="s">
        <v>215</v>
      </c>
      <c r="I4" s="10" t="s">
        <v>216</v>
      </c>
      <c r="J4" s="10" t="s">
        <v>217</v>
      </c>
      <c r="K4" s="10" t="s">
        <v>155</v>
      </c>
      <c r="L4" s="10" t="s">
        <v>156</v>
      </c>
      <c r="M4" s="10" t="s">
        <v>159</v>
      </c>
      <c r="N4" s="10" t="s">
        <v>218</v>
      </c>
      <c r="O4" s="10" t="s">
        <v>219</v>
      </c>
    </row>
    <row r="5" spans="1:15" ht="39.6" x14ac:dyDescent="0.3">
      <c r="A5" s="14" t="s">
        <v>220</v>
      </c>
      <c r="B5" s="14" t="s">
        <v>221</v>
      </c>
      <c r="C5" s="14" t="s">
        <v>222</v>
      </c>
      <c r="D5" s="14" t="s">
        <v>223</v>
      </c>
      <c r="E5" s="14" t="s">
        <v>160</v>
      </c>
      <c r="F5" s="14" t="s">
        <v>134</v>
      </c>
      <c r="G5" s="14" t="s">
        <v>45</v>
      </c>
      <c r="H5" s="14" t="s">
        <v>43</v>
      </c>
      <c r="I5" s="14" t="s">
        <v>224</v>
      </c>
      <c r="J5" s="14" t="s">
        <v>225</v>
      </c>
      <c r="K5" s="14" t="s">
        <v>226</v>
      </c>
      <c r="L5" s="14" t="s">
        <v>227</v>
      </c>
      <c r="M5" s="14" t="s">
        <v>228</v>
      </c>
      <c r="N5" s="14" t="s">
        <v>229</v>
      </c>
      <c r="O5" s="14" t="s">
        <v>230</v>
      </c>
    </row>
    <row r="6" spans="1:15" x14ac:dyDescent="0.3">
      <c r="A6" s="7" t="s">
        <v>231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7" t="s">
        <v>232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7" t="s">
        <v>233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7" t="s">
        <v>234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7" t="s">
        <v>235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7" t="s">
        <v>236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7" t="s">
        <v>237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7" t="s">
        <v>238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7" t="s">
        <v>239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7" t="s">
        <v>240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7" t="s">
        <v>241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7" t="s">
        <v>242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7" t="s">
        <v>243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7" t="s">
        <v>244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7" t="s">
        <v>245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7" t="s">
        <v>246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7" t="s">
        <v>247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7" t="s">
        <v>248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7" t="s">
        <v>249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7" t="s">
        <v>250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7" t="s">
        <v>251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7" t="s">
        <v>252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7" t="s">
        <v>253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7" t="s">
        <v>254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7" t="s">
        <v>255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7" t="s">
        <v>256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7" t="s">
        <v>257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7" t="s">
        <v>258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7" t="s">
        <v>259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7" t="s">
        <v>260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inválido" error="Escolha um valor da lista." xr:uid="{00000000-0002-0000-0600-000000000000}">
          <x14:formula1>
            <xm:f>Listas!$A$2:$A$22</xm:f>
          </x14:formula1>
          <x14:formula2>
            <xm:f>0</xm:f>
          </x14:formula2>
          <xm:sqref>C6:C35</xm:sqref>
        </x14:dataValidation>
        <x14:dataValidation type="list" allowBlank="1" showErrorMessage="1" errorTitle="Valor inválido" error="Escolha um valor da lista." xr:uid="{00000000-0002-0000-0600-000001000000}">
          <x14:formula1>
            <xm:f>Listas!$C$2:$C$15</xm:f>
          </x14:formula1>
          <x14:formula2>
            <xm:f>0</xm:f>
          </x14:formula2>
          <xm:sqref>F6:F35</xm:sqref>
        </x14:dataValidation>
        <x14:dataValidation type="list" allowBlank="1" showErrorMessage="1" errorTitle="Valor inválido" error="Escolha um valor da lista." xr:uid="{00000000-0002-0000-0600-000002000000}">
          <x14:formula1>
            <xm:f>Listas!$F$2:$F$5</xm:f>
          </x14:formula1>
          <x14:formula2>
            <xm:f>0</xm:f>
          </x14:formula2>
          <xm:sqref>G6:G35</xm:sqref>
        </x14:dataValidation>
        <x14:dataValidation type="list" allowBlank="1" showErrorMessage="1" errorTitle="Valor inválido" error="Escolha um valor da lista." xr:uid="{00000000-0002-0000-0600-000003000000}">
          <x14:formula1>
            <xm:f>Listas!$G$2:$G$4</xm:f>
          </x14:formula1>
          <x14:formula2>
            <xm:f>0</xm:f>
          </x14:formula2>
          <xm:sqref>H6:H35</xm:sqref>
        </x14:dataValidation>
        <x14:dataValidation type="list" allowBlank="1" showErrorMessage="1" errorTitle="Valor inválido" error="Escolha um valor da lista." xr:uid="{00000000-0002-0000-0600-000004000000}">
          <x14:formula1>
            <xm:f>Listas!$H$2:$H$5</xm:f>
          </x14:formula1>
          <x14:formula2>
            <xm:f>0</xm:f>
          </x14:formula2>
          <xm:sqref>N6:N35</xm:sqref>
        </x14:dataValidation>
        <x14:dataValidation type="list" allowBlank="1" showErrorMessage="1" errorTitle="Valor inválido" error="Escolha um valor da lista." xr:uid="{00000000-0002-0000-0600-000005000000}">
          <x14:formula1>
            <xm:f>Listas!$N$2:$N$8</xm:f>
          </x14:formula1>
          <x14:formula2>
            <xm:f>0</xm:f>
          </x14:formula2>
          <xm:sqref>O6:O35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7" sqref="K7"/>
    </sheetView>
  </sheetViews>
  <sheetFormatPr defaultColWidth="8.6640625" defaultRowHeight="14.4" x14ac:dyDescent="0.3"/>
  <cols>
    <col min="1" max="1" width="9" customWidth="1"/>
    <col min="2" max="2" width="16" customWidth="1"/>
    <col min="3" max="3" width="8" customWidth="1"/>
    <col min="4" max="4" width="32" customWidth="1"/>
    <col min="5" max="5" width="46" customWidth="1"/>
    <col min="6" max="6" width="20" customWidth="1"/>
    <col min="7" max="7" width="28" customWidth="1"/>
    <col min="8" max="8" width="13" customWidth="1"/>
    <col min="9" max="9" width="12" customWidth="1"/>
    <col min="10" max="10" width="16" customWidth="1"/>
  </cols>
  <sheetData>
    <row r="1" spans="1:10" ht="17.399999999999999" x14ac:dyDescent="0.3">
      <c r="A1" s="1" t="s">
        <v>261</v>
      </c>
    </row>
    <row r="2" spans="1:10" x14ac:dyDescent="0.3">
      <c r="A2" s="2" t="s">
        <v>262</v>
      </c>
    </row>
    <row r="4" spans="1:10" ht="31.5" customHeight="1" x14ac:dyDescent="0.3">
      <c r="A4" s="10" t="s">
        <v>64</v>
      </c>
      <c r="B4" s="10" t="s">
        <v>131</v>
      </c>
      <c r="C4" s="10" t="s">
        <v>88</v>
      </c>
      <c r="D4" s="10" t="s">
        <v>263</v>
      </c>
      <c r="E4" s="10" t="s">
        <v>264</v>
      </c>
      <c r="F4" s="10" t="s">
        <v>265</v>
      </c>
      <c r="G4" s="10" t="s">
        <v>266</v>
      </c>
      <c r="H4" s="10" t="s">
        <v>157</v>
      </c>
      <c r="I4" s="10" t="s">
        <v>158</v>
      </c>
      <c r="J4" s="10" t="s">
        <v>159</v>
      </c>
    </row>
    <row r="5" spans="1:10" ht="26.4" x14ac:dyDescent="0.3">
      <c r="A5" s="14" t="s">
        <v>267</v>
      </c>
      <c r="B5" s="14" t="s">
        <v>139</v>
      </c>
      <c r="C5" s="14" t="s">
        <v>268</v>
      </c>
      <c r="D5" s="14" t="s">
        <v>269</v>
      </c>
      <c r="E5" s="14" t="s">
        <v>270</v>
      </c>
      <c r="F5" s="14" t="s">
        <v>271</v>
      </c>
      <c r="G5" s="14" t="s">
        <v>272</v>
      </c>
      <c r="H5" s="14" t="s">
        <v>170</v>
      </c>
      <c r="I5" s="14"/>
      <c r="J5" s="14" t="s">
        <v>273</v>
      </c>
    </row>
    <row r="6" spans="1:10" ht="52.8" x14ac:dyDescent="0.3">
      <c r="A6" s="7" t="s">
        <v>274</v>
      </c>
      <c r="B6" s="8" t="s">
        <v>138</v>
      </c>
      <c r="C6" s="8" t="s">
        <v>433</v>
      </c>
      <c r="D6" s="8" t="s">
        <v>554</v>
      </c>
      <c r="E6" s="8" t="s">
        <v>555</v>
      </c>
      <c r="F6" s="8" t="s">
        <v>556</v>
      </c>
      <c r="G6" s="8" t="s">
        <v>557</v>
      </c>
      <c r="H6" s="8" t="s">
        <v>170</v>
      </c>
      <c r="I6" s="8" t="s">
        <v>558</v>
      </c>
      <c r="J6" s="8" t="s">
        <v>559</v>
      </c>
    </row>
    <row r="7" spans="1:10" x14ac:dyDescent="0.3">
      <c r="A7" s="7" t="s">
        <v>275</v>
      </c>
      <c r="B7" s="8" t="s">
        <v>139</v>
      </c>
      <c r="C7" s="8"/>
      <c r="D7" s="8"/>
      <c r="E7" s="8"/>
      <c r="F7" s="8"/>
      <c r="G7" s="8"/>
      <c r="H7" s="8"/>
      <c r="I7" s="8"/>
      <c r="J7" s="8"/>
    </row>
    <row r="8" spans="1:10" x14ac:dyDescent="0.3">
      <c r="A8" s="7" t="s">
        <v>276</v>
      </c>
      <c r="B8" s="8" t="s">
        <v>140</v>
      </c>
      <c r="C8" s="8"/>
      <c r="D8" s="8"/>
      <c r="E8" s="8"/>
      <c r="F8" s="8"/>
      <c r="G8" s="8"/>
      <c r="H8" s="8"/>
      <c r="I8" s="8"/>
      <c r="J8" s="8"/>
    </row>
    <row r="9" spans="1:10" x14ac:dyDescent="0.3">
      <c r="A9" s="7" t="s">
        <v>277</v>
      </c>
      <c r="B9" s="8" t="s">
        <v>141</v>
      </c>
      <c r="C9" s="8"/>
      <c r="D9" s="8"/>
      <c r="E9" s="8"/>
      <c r="F9" s="8"/>
      <c r="G9" s="8"/>
      <c r="H9" s="8"/>
      <c r="I9" s="8"/>
      <c r="J9" s="8"/>
    </row>
    <row r="10" spans="1:10" x14ac:dyDescent="0.3">
      <c r="A10" s="7" t="s">
        <v>278</v>
      </c>
      <c r="B10" s="8" t="s">
        <v>142</v>
      </c>
      <c r="C10" s="8"/>
      <c r="D10" s="8"/>
      <c r="E10" s="8"/>
      <c r="F10" s="8"/>
      <c r="G10" s="8"/>
      <c r="H10" s="8"/>
      <c r="I10" s="8"/>
      <c r="J10" s="8"/>
    </row>
    <row r="11" spans="1:10" x14ac:dyDescent="0.3">
      <c r="A11" s="7" t="s">
        <v>279</v>
      </c>
      <c r="B11" s="8" t="s">
        <v>143</v>
      </c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7" t="s">
        <v>280</v>
      </c>
      <c r="B12" s="8" t="s">
        <v>144</v>
      </c>
      <c r="C12" s="8"/>
      <c r="D12" s="8"/>
      <c r="E12" s="8"/>
      <c r="F12" s="8"/>
      <c r="G12" s="8"/>
      <c r="H12" s="8"/>
      <c r="I12" s="8"/>
      <c r="J12" s="8"/>
    </row>
    <row r="13" spans="1:10" x14ac:dyDescent="0.3">
      <c r="A13" s="7" t="s">
        <v>281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7" t="s">
        <v>282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7" t="s">
        <v>283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284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7" t="s">
        <v>285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7" t="s">
        <v>286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7" t="s">
        <v>287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7" t="s">
        <v>288</v>
      </c>
      <c r="B20" s="8"/>
      <c r="C20" s="8"/>
      <c r="D20" s="8"/>
      <c r="E20" s="8"/>
      <c r="F20" s="8"/>
      <c r="G20" s="8"/>
      <c r="H20" s="8"/>
      <c r="I20" s="8"/>
      <c r="J20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700-000000000000}">
          <x14:formula1>
            <xm:f>Listas!$C$2:$C$15</xm:f>
          </x14:formula1>
          <x14:formula2>
            <xm:f>0</xm:f>
          </x14:formula2>
          <xm:sqref>B6:B20</xm:sqref>
        </x14:dataValidation>
        <x14:dataValidation type="list" allowBlank="1" showErrorMessage="1" errorTitle="Valor inválido" error="Escolha um valor da lista." xr:uid="{00000000-0002-0000-0700-000001000000}">
          <x14:formula1>
            <xm:f>Listas!$A$2:$A$22</xm:f>
          </x14:formula1>
          <x14:formula2>
            <xm:f>0</xm:f>
          </x14:formula2>
          <xm:sqref>C6:C20</xm:sqref>
        </x14:dataValidation>
        <x14:dataValidation type="list" allowBlank="1" showErrorMessage="1" errorTitle="Valor inválido" error="Escolha um valor da lista." xr:uid="{00000000-0002-0000-0700-000002000000}">
          <x14:formula1>
            <xm:f>Listas!$E$2:$E$5</xm:f>
          </x14:formula1>
          <x14:formula2>
            <xm:f>0</xm:f>
          </x14:formula2>
          <xm:sqref>H6:H20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5" sqref="B25"/>
    </sheetView>
  </sheetViews>
  <sheetFormatPr defaultColWidth="8.6640625" defaultRowHeight="14.4" x14ac:dyDescent="0.3"/>
  <cols>
    <col min="1" max="1" width="9" customWidth="1"/>
    <col min="2" max="2" width="22" customWidth="1"/>
    <col min="3" max="3" width="40" customWidth="1"/>
    <col min="4" max="4" width="18" customWidth="1"/>
    <col min="5" max="5" width="32" customWidth="1"/>
    <col min="6" max="6" width="30" customWidth="1"/>
    <col min="7" max="7" width="26" customWidth="1"/>
    <col min="8" max="8" width="13" customWidth="1"/>
    <col min="9" max="9" width="8" customWidth="1"/>
    <col min="10" max="10" width="12" customWidth="1"/>
  </cols>
  <sheetData>
    <row r="1" spans="1:10" ht="17.399999999999999" x14ac:dyDescent="0.3">
      <c r="A1" s="1" t="s">
        <v>289</v>
      </c>
    </row>
    <row r="2" spans="1:10" x14ac:dyDescent="0.3">
      <c r="A2" s="2" t="s">
        <v>290</v>
      </c>
    </row>
    <row r="4" spans="1:10" ht="31.5" customHeight="1" x14ac:dyDescent="0.3">
      <c r="A4" s="10" t="s">
        <v>64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156</v>
      </c>
      <c r="H4" s="10" t="s">
        <v>157</v>
      </c>
      <c r="I4" s="10" t="s">
        <v>88</v>
      </c>
      <c r="J4" s="10" t="s">
        <v>158</v>
      </c>
    </row>
    <row r="5" spans="1:10" ht="26.4" x14ac:dyDescent="0.3">
      <c r="A5" s="14" t="s">
        <v>296</v>
      </c>
      <c r="B5" s="14" t="s">
        <v>297</v>
      </c>
      <c r="C5" s="14" t="s">
        <v>298</v>
      </c>
      <c r="D5" s="14" t="s">
        <v>299</v>
      </c>
      <c r="E5" s="14" t="s">
        <v>300</v>
      </c>
      <c r="F5" s="14" t="s">
        <v>301</v>
      </c>
      <c r="G5" s="14" t="s">
        <v>302</v>
      </c>
      <c r="H5" s="14" t="s">
        <v>170</v>
      </c>
      <c r="I5" s="14" t="s">
        <v>94</v>
      </c>
      <c r="J5" s="14"/>
    </row>
    <row r="6" spans="1:10" x14ac:dyDescent="0.3">
      <c r="A6" s="7" t="s">
        <v>303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3">
      <c r="A7" s="7" t="s">
        <v>304</v>
      </c>
      <c r="B7" s="8"/>
      <c r="C7" s="8"/>
      <c r="D7" s="8"/>
      <c r="E7" s="8"/>
      <c r="F7" s="8"/>
      <c r="G7" s="8"/>
      <c r="H7" s="8"/>
      <c r="I7" s="8"/>
      <c r="J7" s="8"/>
    </row>
    <row r="8" spans="1:10" x14ac:dyDescent="0.3">
      <c r="A8" s="7" t="s">
        <v>305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3">
      <c r="A9" s="7" t="s">
        <v>306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3">
      <c r="A10" s="7" t="s">
        <v>307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3">
      <c r="A11" s="7" t="s">
        <v>308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7" t="s">
        <v>309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3">
      <c r="A13" s="7" t="s">
        <v>310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7" t="s">
        <v>311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7" t="s">
        <v>312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313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7" t="s">
        <v>314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7" t="s">
        <v>315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7" t="s">
        <v>316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7" t="s">
        <v>317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7" t="s">
        <v>318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7" t="s">
        <v>319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7" t="s">
        <v>320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7" t="s">
        <v>321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7" t="s">
        <v>322</v>
      </c>
      <c r="B25" s="8"/>
      <c r="C25" s="8"/>
      <c r="D25" s="8"/>
      <c r="E25" s="8"/>
      <c r="F25" s="8"/>
      <c r="G25" s="8"/>
      <c r="H25" s="8"/>
      <c r="I25" s="8"/>
      <c r="J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8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800-000001000000}">
          <x14:formula1>
            <xm:f>Listas!$E$2:$E$5</xm:f>
          </x14:formula1>
          <x14:formula2>
            <xm:f>0</xm:f>
          </x14:formula2>
          <xm:sqref>H6:H25</xm:sqref>
        </x14:dataValidation>
        <x14:dataValidation type="list" allowBlank="1" showErrorMessage="1" errorTitle="Valor inválido" error="Escolha um valor da lista." xr:uid="{00000000-0002-0000-0800-000002000000}">
          <x14:formula1>
            <xm:f>Listas!$A$2:$A$22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ColWidth="8.6640625" defaultRowHeight="14.4" x14ac:dyDescent="0.3"/>
  <cols>
    <col min="1" max="1" width="8" customWidth="1"/>
    <col min="2" max="2" width="22" customWidth="1"/>
    <col min="3" max="3" width="38" customWidth="1"/>
    <col min="4" max="4" width="8" customWidth="1"/>
    <col min="5" max="5" width="58" customWidth="1"/>
    <col min="6" max="7" width="14" customWidth="1"/>
    <col min="8" max="8" width="16" customWidth="1"/>
    <col min="9" max="9" width="12" customWidth="1"/>
  </cols>
  <sheetData>
    <row r="1" spans="1:9" ht="17.399999999999999" x14ac:dyDescent="0.3">
      <c r="A1" s="1" t="s">
        <v>323</v>
      </c>
    </row>
    <row r="2" spans="1:9" x14ac:dyDescent="0.3">
      <c r="A2" s="2" t="s">
        <v>324</v>
      </c>
    </row>
    <row r="4" spans="1:9" ht="31.5" customHeight="1" x14ac:dyDescent="0.3">
      <c r="A4" s="10" t="s">
        <v>64</v>
      </c>
      <c r="B4" s="10" t="s">
        <v>325</v>
      </c>
      <c r="C4" s="10" t="s">
        <v>326</v>
      </c>
      <c r="D4" s="10" t="s">
        <v>88</v>
      </c>
      <c r="E4" s="10" t="s">
        <v>327</v>
      </c>
      <c r="F4" s="10" t="s">
        <v>328</v>
      </c>
      <c r="G4" s="10" t="s">
        <v>329</v>
      </c>
      <c r="H4" s="10" t="s">
        <v>330</v>
      </c>
      <c r="I4" s="10" t="s">
        <v>158</v>
      </c>
    </row>
    <row r="5" spans="1:9" x14ac:dyDescent="0.3">
      <c r="A5" s="14" t="s">
        <v>331</v>
      </c>
      <c r="B5" s="14" t="s">
        <v>332</v>
      </c>
      <c r="C5" s="14" t="s">
        <v>333</v>
      </c>
      <c r="D5" s="14" t="s">
        <v>94</v>
      </c>
      <c r="E5" s="14" t="s">
        <v>334</v>
      </c>
      <c r="F5" s="14" t="s">
        <v>335</v>
      </c>
      <c r="G5" s="14" t="s">
        <v>335</v>
      </c>
      <c r="H5" s="14" t="s">
        <v>170</v>
      </c>
      <c r="I5" s="14"/>
    </row>
    <row r="6" spans="1:9" x14ac:dyDescent="0.3">
      <c r="A6" s="7" t="s">
        <v>336</v>
      </c>
      <c r="B6" s="8"/>
      <c r="C6" s="8"/>
      <c r="D6" s="8"/>
      <c r="E6" s="8"/>
      <c r="F6" s="8"/>
      <c r="G6" s="8"/>
      <c r="H6" s="8"/>
      <c r="I6" s="8"/>
    </row>
    <row r="7" spans="1:9" x14ac:dyDescent="0.3">
      <c r="A7" s="7" t="s">
        <v>337</v>
      </c>
      <c r="B7" s="8"/>
      <c r="C7" s="8"/>
      <c r="D7" s="8"/>
      <c r="E7" s="8"/>
      <c r="F7" s="8"/>
      <c r="G7" s="8"/>
      <c r="H7" s="8"/>
      <c r="I7" s="8"/>
    </row>
    <row r="8" spans="1:9" x14ac:dyDescent="0.3">
      <c r="A8" s="7" t="s">
        <v>338</v>
      </c>
      <c r="B8" s="8"/>
      <c r="C8" s="8"/>
      <c r="D8" s="8"/>
      <c r="E8" s="8"/>
      <c r="F8" s="8"/>
      <c r="G8" s="8"/>
      <c r="H8" s="8"/>
      <c r="I8" s="8"/>
    </row>
    <row r="9" spans="1:9" x14ac:dyDescent="0.3">
      <c r="A9" s="7" t="s">
        <v>339</v>
      </c>
      <c r="B9" s="8"/>
      <c r="C9" s="8"/>
      <c r="D9" s="8"/>
      <c r="E9" s="8"/>
      <c r="F9" s="8"/>
      <c r="G9" s="8"/>
      <c r="H9" s="8"/>
      <c r="I9" s="8"/>
    </row>
    <row r="10" spans="1:9" x14ac:dyDescent="0.3">
      <c r="A10" s="7" t="s">
        <v>340</v>
      </c>
      <c r="B10" s="8"/>
      <c r="C10" s="8"/>
      <c r="D10" s="8"/>
      <c r="E10" s="8"/>
      <c r="F10" s="8"/>
      <c r="G10" s="8"/>
      <c r="H10" s="8"/>
      <c r="I10" s="8"/>
    </row>
    <row r="11" spans="1:9" x14ac:dyDescent="0.3">
      <c r="A11" s="7" t="s">
        <v>341</v>
      </c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7" t="s">
        <v>342</v>
      </c>
      <c r="B12" s="8"/>
      <c r="C12" s="8"/>
      <c r="D12" s="8"/>
      <c r="E12" s="8"/>
      <c r="F12" s="8"/>
      <c r="G12" s="8"/>
      <c r="H12" s="8"/>
      <c r="I12" s="8"/>
    </row>
    <row r="13" spans="1:9" x14ac:dyDescent="0.3">
      <c r="A13" s="7" t="s">
        <v>343</v>
      </c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7" t="s">
        <v>344</v>
      </c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7" t="s">
        <v>345</v>
      </c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7" t="s">
        <v>346</v>
      </c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7" t="s">
        <v>347</v>
      </c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7" t="s">
        <v>348</v>
      </c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7" t="s">
        <v>349</v>
      </c>
      <c r="B19" s="8"/>
      <c r="C19" s="8"/>
      <c r="D19" s="8"/>
      <c r="E19" s="8"/>
      <c r="F19" s="8"/>
      <c r="G19" s="8"/>
      <c r="H19" s="8"/>
      <c r="I19" s="8"/>
    </row>
    <row r="20" spans="1:9" x14ac:dyDescent="0.3">
      <c r="A20" s="7" t="s">
        <v>350</v>
      </c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7" t="s">
        <v>351</v>
      </c>
      <c r="B21" s="8"/>
      <c r="C21" s="8"/>
      <c r="D21" s="8"/>
      <c r="E21" s="8"/>
      <c r="F21" s="8"/>
      <c r="G21" s="8"/>
      <c r="H21" s="8"/>
      <c r="I21" s="8"/>
    </row>
    <row r="22" spans="1:9" x14ac:dyDescent="0.3">
      <c r="A22" s="7" t="s">
        <v>352</v>
      </c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7" t="s">
        <v>353</v>
      </c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7" t="s">
        <v>354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7" t="s">
        <v>355</v>
      </c>
      <c r="B25" s="8"/>
      <c r="C25" s="8"/>
      <c r="D25" s="8"/>
      <c r="E25" s="8"/>
      <c r="F25" s="8"/>
      <c r="G25" s="8"/>
      <c r="H25" s="8"/>
      <c r="I25" s="8"/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9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900-000001000000}">
          <x14:formula1>
            <xm:f>Listas!$A$2:$A$22</xm:f>
          </x14:formula1>
          <x14:formula2>
            <xm:f>0</xm:f>
          </x14:formula2>
          <xm:sqref>D6:D25</xm:sqref>
        </x14:dataValidation>
        <x14:dataValidation type="list" allowBlank="1" showErrorMessage="1" errorTitle="Valor inválido" error="Escolha um valor da lista." xr:uid="{00000000-0002-0000-0900-000002000000}">
          <x14:formula1>
            <xm:f>Listas!$E$2:$E$5</xm:f>
          </x14:formula1>
          <x14:formula2>
            <xm:f>0</xm:f>
          </x14:formula2>
          <xm:sqref>H6:H25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2" customWidth="1"/>
    <col min="3" max="3" width="16" customWidth="1"/>
    <col min="4" max="4" width="20" customWidth="1"/>
    <col min="5" max="5" width="36" customWidth="1"/>
    <col min="6" max="6" width="40" customWidth="1"/>
    <col min="7" max="8" width="16" customWidth="1"/>
    <col min="9" max="10" width="14" customWidth="1"/>
    <col min="11" max="11" width="12" customWidth="1"/>
    <col min="12" max="12" width="14" customWidth="1"/>
  </cols>
  <sheetData>
    <row r="1" spans="1:12" ht="17.399999999999999" x14ac:dyDescent="0.3">
      <c r="A1" s="1" t="s">
        <v>356</v>
      </c>
    </row>
    <row r="2" spans="1:12" x14ac:dyDescent="0.3">
      <c r="A2" s="2" t="s">
        <v>357</v>
      </c>
    </row>
    <row r="4" spans="1:12" ht="31.5" customHeight="1" x14ac:dyDescent="0.3">
      <c r="A4" s="10" t="s">
        <v>64</v>
      </c>
      <c r="B4" s="10" t="s">
        <v>358</v>
      </c>
      <c r="C4" s="10" t="s">
        <v>359</v>
      </c>
      <c r="D4" s="10" t="s">
        <v>291</v>
      </c>
      <c r="E4" s="10" t="s">
        <v>360</v>
      </c>
      <c r="F4" s="10" t="s">
        <v>361</v>
      </c>
      <c r="G4" s="10" t="s">
        <v>362</v>
      </c>
      <c r="H4" s="10" t="s">
        <v>363</v>
      </c>
      <c r="I4" s="10" t="s">
        <v>364</v>
      </c>
      <c r="J4" s="10" t="s">
        <v>365</v>
      </c>
      <c r="K4" s="10" t="s">
        <v>366</v>
      </c>
      <c r="L4" s="10" t="s">
        <v>367</v>
      </c>
    </row>
    <row r="5" spans="1:12" ht="60" customHeight="1" x14ac:dyDescent="0.3">
      <c r="A5" s="7" t="s">
        <v>368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60" customHeight="1" x14ac:dyDescent="0.3">
      <c r="A6" s="7" t="s">
        <v>369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60" customHeight="1" x14ac:dyDescent="0.3">
      <c r="A7" s="7" t="s">
        <v>370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A00-000000000000}">
          <x14:formula1>
            <xm:f>Listas!$E$2:$E$5</xm:f>
          </x14:formula1>
          <x14:formula2>
            <xm:f>0</xm:f>
          </x14:formula2>
          <xm:sqref>H5:H7</xm:sqref>
        </x14:dataValidation>
        <x14:dataValidation type="list" allowBlank="1" showErrorMessage="1" errorTitle="Valor inválido" error="Escolha um valor da lista." xr:uid="{00000000-0002-0000-0A00-000001000000}">
          <x14:formula1>
            <xm:f>Listas!$I$2:$I$3</xm:f>
          </x14:formula1>
          <x14:formula2>
            <xm:f>0</xm:f>
          </x14:formula2>
          <xm:sqref>K5:K7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44" customWidth="1"/>
    <col min="2" max="2" width="16" customWidth="1"/>
    <col min="3" max="3" width="90" customWidth="1"/>
  </cols>
  <sheetData>
    <row r="1" spans="1:2" ht="17.399999999999999" x14ac:dyDescent="0.3">
      <c r="A1" s="1" t="s">
        <v>371</v>
      </c>
    </row>
    <row r="2" spans="1:2" x14ac:dyDescent="0.3">
      <c r="A2" s="2" t="s">
        <v>372</v>
      </c>
    </row>
    <row r="4" spans="1:2" x14ac:dyDescent="0.3">
      <c r="A4" s="15" t="s">
        <v>373</v>
      </c>
      <c r="B4" s="16"/>
    </row>
    <row r="5" spans="1:2" x14ac:dyDescent="0.3">
      <c r="A5" s="17" t="s">
        <v>374</v>
      </c>
      <c r="B5" s="18">
        <f>COUNTA('5_Casos_de_Teste'!G6:G45)</f>
        <v>15</v>
      </c>
    </row>
    <row r="6" spans="1:2" x14ac:dyDescent="0.3">
      <c r="A6" s="17" t="s">
        <v>375</v>
      </c>
      <c r="B6" s="18">
        <f>COUNTIF('5_Casos_de_Teste'!M6:M45,"Passou")</f>
        <v>9</v>
      </c>
    </row>
    <row r="7" spans="1:2" x14ac:dyDescent="0.3">
      <c r="A7" s="17" t="s">
        <v>376</v>
      </c>
      <c r="B7" s="18">
        <f>COUNTIF('5_Casos_de_Teste'!M6:M45,"Falhou")</f>
        <v>6</v>
      </c>
    </row>
    <row r="8" spans="1:2" x14ac:dyDescent="0.3">
      <c r="A8" s="17" t="s">
        <v>377</v>
      </c>
      <c r="B8" s="18">
        <f>COUNTIF('5_Casos_de_Teste'!M6:M45,"Bloqueado")</f>
        <v>0</v>
      </c>
    </row>
    <row r="9" spans="1:2" x14ac:dyDescent="0.3">
      <c r="A9" s="17" t="s">
        <v>378</v>
      </c>
      <c r="B9" s="18">
        <f>COUNTIF('5_Casos_de_Teste'!M6:M45,"Não executado")</f>
        <v>0</v>
      </c>
    </row>
    <row r="10" spans="1:2" x14ac:dyDescent="0.3">
      <c r="A10" s="17" t="s">
        <v>379</v>
      </c>
      <c r="B10" s="19">
        <f>IFERROR(B6/(B6+B7+B8),0)</f>
        <v>0.6</v>
      </c>
    </row>
    <row r="11" spans="1:2" x14ac:dyDescent="0.3">
      <c r="A11" s="17" t="s">
        <v>380</v>
      </c>
      <c r="B11" s="18">
        <f>COUNTIF('5_Casos_de_Teste'!D6:D45,"Valor limite")</f>
        <v>1</v>
      </c>
    </row>
    <row r="12" spans="1:2" x14ac:dyDescent="0.3">
      <c r="A12" s="17" t="s">
        <v>381</v>
      </c>
      <c r="B12" s="18">
        <f>COUNTA('6_Bugs'!B6:B35)</f>
        <v>0</v>
      </c>
    </row>
    <row r="13" spans="1:2" x14ac:dyDescent="0.3">
      <c r="A13" s="17" t="s">
        <v>382</v>
      </c>
      <c r="B13" s="18">
        <f>COUNTIF('6_Bugs'!G6:G35,"Crítica")</f>
        <v>0</v>
      </c>
    </row>
    <row r="14" spans="1:2" x14ac:dyDescent="0.3">
      <c r="A14" s="17" t="s">
        <v>383</v>
      </c>
      <c r="B14" s="18">
        <f>COUNTIF('6_Bugs'!G6:G35,"Alta")</f>
        <v>0</v>
      </c>
    </row>
    <row r="15" spans="1:2" x14ac:dyDescent="0.3">
      <c r="A15" s="17" t="s">
        <v>384</v>
      </c>
      <c r="B15" s="18">
        <f>COUNTIF('6_Bugs'!G6:G35,"Média")</f>
        <v>0</v>
      </c>
    </row>
    <row r="16" spans="1:2" x14ac:dyDescent="0.3">
      <c r="A16" s="17" t="s">
        <v>385</v>
      </c>
      <c r="B16" s="18">
        <f>COUNTIF('6_Bugs'!G6:G35,"Baixa")</f>
        <v>0</v>
      </c>
    </row>
    <row r="17" spans="1:4" x14ac:dyDescent="0.3">
      <c r="A17" s="17" t="s">
        <v>386</v>
      </c>
      <c r="B17" s="18">
        <f>COUNTIF('6_Bugs'!N6:N35,"Corrigido*")</f>
        <v>0</v>
      </c>
    </row>
    <row r="18" spans="1:4" x14ac:dyDescent="0.3">
      <c r="A18" s="17" t="s">
        <v>387</v>
      </c>
      <c r="B18" s="18">
        <f>COUNTA('7_Nao_Funcionais'!H6:H20)</f>
        <v>1</v>
      </c>
    </row>
    <row r="19" spans="1:4" x14ac:dyDescent="0.3">
      <c r="A19" s="17" t="s">
        <v>388</v>
      </c>
      <c r="B19" s="18">
        <f>COUNTIF('7_Nao_Funcionais'!H6:H20,"Falhou")</f>
        <v>0</v>
      </c>
    </row>
    <row r="20" spans="1:4" x14ac:dyDescent="0.3">
      <c r="A20" s="17" t="s">
        <v>389</v>
      </c>
      <c r="B20" s="18">
        <f>COUNTA('8_Caixa_Branca'!C6:C25)</f>
        <v>0</v>
      </c>
    </row>
    <row r="21" spans="1:4" x14ac:dyDescent="0.3">
      <c r="A21" s="17" t="s">
        <v>390</v>
      </c>
      <c r="B21" s="18">
        <f>COUNTA('9_Automacao'!E6:E25)</f>
        <v>0</v>
      </c>
    </row>
    <row r="22" spans="1:4" x14ac:dyDescent="0.3">
      <c r="A22" s="17" t="s">
        <v>391</v>
      </c>
      <c r="B22" s="18">
        <f>COUNTIF('9_Automacao'!H6:H25,"Passou")</f>
        <v>0</v>
      </c>
    </row>
    <row r="23" spans="1:4" x14ac:dyDescent="0.3">
      <c r="A23" s="17" t="s">
        <v>392</v>
      </c>
      <c r="B23" s="18">
        <f>COUNTIF('9_Automacao'!H6:H25,"Falhou")</f>
        <v>0</v>
      </c>
    </row>
    <row r="25" spans="1:4" x14ac:dyDescent="0.3">
      <c r="A25" s="15" t="s">
        <v>393</v>
      </c>
      <c r="B25" s="16"/>
      <c r="C25" s="16"/>
    </row>
    <row r="26" spans="1:4" ht="48" customHeight="1" x14ac:dyDescent="0.3">
      <c r="A26" s="7" t="s">
        <v>394</v>
      </c>
      <c r="B26" s="24"/>
      <c r="C26" s="24"/>
      <c r="D26" s="9" t="s">
        <v>395</v>
      </c>
    </row>
    <row r="27" spans="1:4" ht="48" customHeight="1" x14ac:dyDescent="0.3">
      <c r="A27" s="7" t="s">
        <v>396</v>
      </c>
      <c r="B27" s="24"/>
      <c r="C27" s="24"/>
    </row>
    <row r="28" spans="1:4" ht="48" customHeight="1" x14ac:dyDescent="0.3">
      <c r="A28" s="7" t="s">
        <v>397</v>
      </c>
      <c r="B28" s="24"/>
      <c r="C28" s="24"/>
    </row>
    <row r="29" spans="1:4" ht="48" customHeight="1" x14ac:dyDescent="0.3">
      <c r="A29" s="7" t="s">
        <v>398</v>
      </c>
      <c r="B29" s="24"/>
      <c r="C29" s="24"/>
    </row>
    <row r="30" spans="1:4" ht="18" customHeight="1" x14ac:dyDescent="0.3">
      <c r="A30" s="7" t="s">
        <v>399</v>
      </c>
      <c r="B30" s="24"/>
      <c r="C30" s="24"/>
      <c r="D30" s="9" t="s">
        <v>400</v>
      </c>
    </row>
    <row r="31" spans="1:4" ht="48" customHeight="1" x14ac:dyDescent="0.3">
      <c r="A31" s="7" t="s">
        <v>401</v>
      </c>
      <c r="B31" s="24"/>
      <c r="C31" s="24"/>
      <c r="D31" s="9" t="s">
        <v>402</v>
      </c>
    </row>
    <row r="32" spans="1:4" ht="48" customHeight="1" x14ac:dyDescent="0.3">
      <c r="A32" s="7" t="s">
        <v>403</v>
      </c>
      <c r="B32" s="24"/>
      <c r="C32" s="24"/>
    </row>
    <row r="33" spans="1:3" ht="48" customHeight="1" x14ac:dyDescent="0.3">
      <c r="A33" s="7" t="s">
        <v>404</v>
      </c>
      <c r="B33" s="24"/>
      <c r="C33" s="24"/>
    </row>
  </sheetData>
  <mergeCells count="8">
    <mergeCell ref="B31:C31"/>
    <mergeCell ref="B32:C32"/>
    <mergeCell ref="B33:C33"/>
    <mergeCell ref="B26:C26"/>
    <mergeCell ref="B27:C27"/>
    <mergeCell ref="B28:C28"/>
    <mergeCell ref="B29:C29"/>
    <mergeCell ref="B30:C3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B00-000000000000}">
          <x14:formula1>
            <xm:f>Listas!$L$2:$L$4</xm:f>
          </x14:formula1>
          <x14:formula2>
            <xm:f>0</xm:f>
          </x14:formula2>
          <xm:sqref>B30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showGridLines="0" zoomScaleNormal="10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F10" sqref="F10"/>
    </sheetView>
  </sheetViews>
  <sheetFormatPr defaultColWidth="8.6640625" defaultRowHeight="14.4" x14ac:dyDescent="0.3"/>
  <cols>
    <col min="1" max="1" width="8" customWidth="1"/>
    <col min="2" max="2" width="9" customWidth="1"/>
    <col min="3" max="3" width="16" customWidth="1"/>
    <col min="4" max="4" width="50" customWidth="1"/>
    <col min="5" max="5" width="40" customWidth="1"/>
    <col min="6" max="6" width="36" customWidth="1"/>
    <col min="7" max="7" width="40" customWidth="1"/>
  </cols>
  <sheetData>
    <row r="1" spans="1:7" ht="17.399999999999999" x14ac:dyDescent="0.3">
      <c r="A1" s="1" t="s">
        <v>405</v>
      </c>
    </row>
    <row r="2" spans="1:7" x14ac:dyDescent="0.3">
      <c r="A2" s="2" t="s">
        <v>406</v>
      </c>
    </row>
    <row r="4" spans="1:7" ht="31.5" customHeight="1" x14ac:dyDescent="0.3">
      <c r="A4" s="10" t="s">
        <v>64</v>
      </c>
      <c r="B4" s="10" t="s">
        <v>219</v>
      </c>
      <c r="C4" s="10" t="s">
        <v>407</v>
      </c>
      <c r="D4" s="10" t="s">
        <v>408</v>
      </c>
      <c r="E4" s="10" t="s">
        <v>409</v>
      </c>
      <c r="F4" s="10" t="s">
        <v>410</v>
      </c>
      <c r="G4" s="10" t="s">
        <v>411</v>
      </c>
    </row>
    <row r="5" spans="1:7" ht="66" x14ac:dyDescent="0.3">
      <c r="A5" s="7" t="s">
        <v>412</v>
      </c>
      <c r="B5" s="8" t="s">
        <v>467</v>
      </c>
      <c r="C5" s="8" t="s">
        <v>530</v>
      </c>
      <c r="D5" s="8" t="s">
        <v>531</v>
      </c>
      <c r="E5" s="8" t="s">
        <v>538</v>
      </c>
      <c r="F5" s="8" t="s">
        <v>544</v>
      </c>
      <c r="G5" s="8" t="s">
        <v>547</v>
      </c>
    </row>
    <row r="6" spans="1:7" ht="52.8" x14ac:dyDescent="0.3">
      <c r="A6" s="7" t="s">
        <v>413</v>
      </c>
      <c r="B6" s="8" t="s">
        <v>467</v>
      </c>
      <c r="C6" s="8" t="s">
        <v>532</v>
      </c>
      <c r="D6" s="8" t="s">
        <v>533</v>
      </c>
      <c r="E6" s="8" t="s">
        <v>539</v>
      </c>
      <c r="F6" s="8" t="s">
        <v>544</v>
      </c>
      <c r="G6" s="8" t="s">
        <v>547</v>
      </c>
    </row>
    <row r="7" spans="1:7" ht="52.8" x14ac:dyDescent="0.3">
      <c r="A7" s="7" t="s">
        <v>414</v>
      </c>
      <c r="B7" s="8" t="s">
        <v>479</v>
      </c>
      <c r="C7" s="8" t="s">
        <v>552</v>
      </c>
      <c r="D7" s="8" t="s">
        <v>534</v>
      </c>
      <c r="E7" s="8" t="s">
        <v>540</v>
      </c>
      <c r="F7" s="8" t="s">
        <v>544</v>
      </c>
      <c r="G7" s="8" t="s">
        <v>547</v>
      </c>
    </row>
    <row r="8" spans="1:7" ht="52.8" x14ac:dyDescent="0.3">
      <c r="A8" s="7" t="s">
        <v>415</v>
      </c>
      <c r="B8" s="8" t="s">
        <v>471</v>
      </c>
      <c r="C8" s="8" t="s">
        <v>552</v>
      </c>
      <c r="D8" s="8" t="s">
        <v>535</v>
      </c>
      <c r="E8" s="8" t="s">
        <v>541</v>
      </c>
      <c r="F8" s="8" t="s">
        <v>545</v>
      </c>
      <c r="G8" s="8" t="s">
        <v>547</v>
      </c>
    </row>
    <row r="9" spans="1:7" ht="66" x14ac:dyDescent="0.3">
      <c r="A9" s="7" t="s">
        <v>416</v>
      </c>
      <c r="B9" s="8" t="s">
        <v>467</v>
      </c>
      <c r="C9" s="8" t="s">
        <v>553</v>
      </c>
      <c r="D9" s="8" t="s">
        <v>536</v>
      </c>
      <c r="E9" s="8" t="s">
        <v>542</v>
      </c>
      <c r="F9" s="8" t="s">
        <v>546</v>
      </c>
      <c r="G9" s="8" t="s">
        <v>547</v>
      </c>
    </row>
    <row r="10" spans="1:7" ht="66" x14ac:dyDescent="0.3">
      <c r="A10" s="7" t="s">
        <v>417</v>
      </c>
      <c r="B10" s="8" t="s">
        <v>475</v>
      </c>
      <c r="C10" s="8" t="s">
        <v>532</v>
      </c>
      <c r="D10" s="8" t="s">
        <v>537</v>
      </c>
      <c r="E10" s="8" t="s">
        <v>543</v>
      </c>
      <c r="F10" s="8" t="s">
        <v>544</v>
      </c>
      <c r="G10" s="8" t="s">
        <v>547</v>
      </c>
    </row>
    <row r="11" spans="1:7" x14ac:dyDescent="0.3">
      <c r="A11" s="7" t="s">
        <v>418</v>
      </c>
      <c r="B11" s="8"/>
      <c r="C11" s="8"/>
      <c r="D11" s="8"/>
      <c r="E11" s="8"/>
      <c r="F11" s="8"/>
      <c r="G11" s="8"/>
    </row>
    <row r="12" spans="1:7" x14ac:dyDescent="0.3">
      <c r="A12" s="7" t="s">
        <v>419</v>
      </c>
      <c r="B12" s="8"/>
      <c r="C12" s="8"/>
      <c r="D12" s="8"/>
      <c r="E12" s="8"/>
      <c r="F12" s="8"/>
      <c r="G12" s="8"/>
    </row>
    <row r="13" spans="1:7" x14ac:dyDescent="0.3">
      <c r="A13" s="7" t="s">
        <v>420</v>
      </c>
      <c r="B13" s="8"/>
      <c r="C13" s="8"/>
      <c r="D13" s="8"/>
      <c r="E13" s="8"/>
      <c r="F13" s="8"/>
      <c r="G13" s="8"/>
    </row>
    <row r="14" spans="1:7" x14ac:dyDescent="0.3">
      <c r="A14" s="7" t="s">
        <v>421</v>
      </c>
      <c r="B14" s="8"/>
      <c r="C14" s="8"/>
      <c r="D14" s="8"/>
      <c r="E14" s="8"/>
      <c r="F14" s="8"/>
      <c r="G14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C00-000000000000}">
          <x14:formula1>
            <xm:f>Listas!$N$2:$N$8</xm:f>
          </x14:formula1>
          <x14:formula2>
            <xm:f>0</xm:f>
          </x14:formula2>
          <xm:sqref>B5:B14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2"/>
  <sheetViews>
    <sheetView zoomScaleNormal="100" workbookViewId="0"/>
  </sheetViews>
  <sheetFormatPr defaultColWidth="8.6640625" defaultRowHeight="14.4" x14ac:dyDescent="0.3"/>
  <sheetData>
    <row r="1" spans="1:16" x14ac:dyDescent="0.3">
      <c r="A1" s="5" t="s">
        <v>88</v>
      </c>
      <c r="B1" s="5" t="s">
        <v>422</v>
      </c>
      <c r="C1" s="5" t="s">
        <v>423</v>
      </c>
      <c r="D1" s="5" t="s">
        <v>424</v>
      </c>
      <c r="E1" s="5" t="s">
        <v>157</v>
      </c>
      <c r="F1" s="5" t="s">
        <v>38</v>
      </c>
      <c r="G1" s="5" t="s">
        <v>215</v>
      </c>
      <c r="H1" s="5" t="s">
        <v>425</v>
      </c>
      <c r="I1" s="5" t="s">
        <v>426</v>
      </c>
      <c r="J1" s="5" t="s">
        <v>427</v>
      </c>
      <c r="K1" s="5" t="s">
        <v>84</v>
      </c>
      <c r="L1" s="5" t="s">
        <v>428</v>
      </c>
      <c r="M1" s="5" t="s">
        <v>429</v>
      </c>
      <c r="N1" s="5" t="s">
        <v>430</v>
      </c>
      <c r="O1" s="5" t="s">
        <v>431</v>
      </c>
      <c r="P1" s="5" t="s">
        <v>432</v>
      </c>
    </row>
    <row r="2" spans="1:16" x14ac:dyDescent="0.3">
      <c r="A2" s="6" t="s">
        <v>433</v>
      </c>
      <c r="B2" s="6" t="s">
        <v>162</v>
      </c>
      <c r="C2" s="6" t="s">
        <v>134</v>
      </c>
      <c r="D2" s="6" t="s">
        <v>434</v>
      </c>
      <c r="E2" s="6" t="s">
        <v>170</v>
      </c>
      <c r="F2" s="6" t="s">
        <v>39</v>
      </c>
      <c r="G2" s="6" t="s">
        <v>41</v>
      </c>
      <c r="H2" s="6" t="s">
        <v>229</v>
      </c>
      <c r="I2" s="6" t="s">
        <v>435</v>
      </c>
      <c r="J2" s="6" t="s">
        <v>436</v>
      </c>
      <c r="K2" s="6" t="s">
        <v>437</v>
      </c>
      <c r="L2" s="6" t="s">
        <v>438</v>
      </c>
      <c r="M2" s="6" t="s">
        <v>439</v>
      </c>
      <c r="N2" s="6" t="s">
        <v>440</v>
      </c>
      <c r="O2" s="6" t="s">
        <v>441</v>
      </c>
      <c r="P2" s="6" t="s">
        <v>442</v>
      </c>
    </row>
    <row r="3" spans="1:16" x14ac:dyDescent="0.3">
      <c r="A3" s="6" t="s">
        <v>443</v>
      </c>
      <c r="B3" s="6" t="s">
        <v>444</v>
      </c>
      <c r="C3" s="6" t="s">
        <v>145</v>
      </c>
      <c r="D3" s="6" t="s">
        <v>445</v>
      </c>
      <c r="E3" s="6" t="s">
        <v>446</v>
      </c>
      <c r="F3" s="6" t="s">
        <v>41</v>
      </c>
      <c r="G3" s="6" t="s">
        <v>43</v>
      </c>
      <c r="H3" s="6" t="s">
        <v>447</v>
      </c>
      <c r="I3" s="6" t="s">
        <v>448</v>
      </c>
      <c r="J3" s="6" t="s">
        <v>446</v>
      </c>
      <c r="K3" s="6" t="s">
        <v>449</v>
      </c>
      <c r="L3" s="6" t="s">
        <v>450</v>
      </c>
      <c r="M3" s="6" t="s">
        <v>451</v>
      </c>
      <c r="N3" s="6" t="s">
        <v>452</v>
      </c>
      <c r="O3" s="6" t="s">
        <v>96</v>
      </c>
      <c r="P3" s="6" t="s">
        <v>453</v>
      </c>
    </row>
    <row r="4" spans="1:16" x14ac:dyDescent="0.3">
      <c r="A4" s="6" t="s">
        <v>454</v>
      </c>
      <c r="B4" s="6" t="s">
        <v>455</v>
      </c>
      <c r="C4" s="6" t="s">
        <v>135</v>
      </c>
      <c r="D4" s="6" t="s">
        <v>163</v>
      </c>
      <c r="E4" s="6" t="s">
        <v>456</v>
      </c>
      <c r="F4" s="6" t="s">
        <v>43</v>
      </c>
      <c r="G4" s="6" t="s">
        <v>45</v>
      </c>
      <c r="H4" s="6" t="s">
        <v>457</v>
      </c>
      <c r="L4" s="6" t="s">
        <v>458</v>
      </c>
      <c r="M4" s="6" t="s">
        <v>459</v>
      </c>
      <c r="N4" s="6" t="s">
        <v>230</v>
      </c>
      <c r="O4" s="6" t="s">
        <v>460</v>
      </c>
      <c r="P4" s="6" t="s">
        <v>461</v>
      </c>
    </row>
    <row r="5" spans="1:16" x14ac:dyDescent="0.3">
      <c r="A5" s="6" t="s">
        <v>462</v>
      </c>
      <c r="B5" s="6" t="s">
        <v>463</v>
      </c>
      <c r="C5" s="6" t="s">
        <v>136</v>
      </c>
      <c r="D5" s="6" t="s">
        <v>145</v>
      </c>
      <c r="E5" s="6" t="s">
        <v>464</v>
      </c>
      <c r="F5" s="6" t="s">
        <v>45</v>
      </c>
      <c r="H5" s="6" t="s">
        <v>465</v>
      </c>
      <c r="M5" s="6" t="s">
        <v>466</v>
      </c>
      <c r="N5" s="6" t="s">
        <v>467</v>
      </c>
      <c r="O5" s="6" t="s">
        <v>468</v>
      </c>
    </row>
    <row r="6" spans="1:16" x14ac:dyDescent="0.3">
      <c r="A6" s="6" t="s">
        <v>469</v>
      </c>
      <c r="B6" s="6" t="s">
        <v>137</v>
      </c>
      <c r="C6" s="6" t="s">
        <v>427</v>
      </c>
      <c r="M6" s="6" t="s">
        <v>470</v>
      </c>
      <c r="N6" s="6" t="s">
        <v>471</v>
      </c>
    </row>
    <row r="7" spans="1:16" x14ac:dyDescent="0.3">
      <c r="A7" s="6" t="s">
        <v>472</v>
      </c>
      <c r="B7" s="6" t="s">
        <v>473</v>
      </c>
      <c r="C7" s="6" t="s">
        <v>137</v>
      </c>
      <c r="M7" s="6" t="s">
        <v>474</v>
      </c>
      <c r="N7" s="6" t="s">
        <v>475</v>
      </c>
    </row>
    <row r="8" spans="1:16" x14ac:dyDescent="0.3">
      <c r="A8" s="6" t="s">
        <v>476</v>
      </c>
      <c r="B8" s="6" t="s">
        <v>477</v>
      </c>
      <c r="C8" s="6" t="s">
        <v>138</v>
      </c>
      <c r="M8" s="6" t="s">
        <v>478</v>
      </c>
      <c r="N8" s="6" t="s">
        <v>479</v>
      </c>
    </row>
    <row r="9" spans="1:16" x14ac:dyDescent="0.3">
      <c r="A9" s="6" t="s">
        <v>480</v>
      </c>
      <c r="B9" s="6" t="s">
        <v>481</v>
      </c>
      <c r="C9" s="6" t="s">
        <v>139</v>
      </c>
      <c r="M9" s="6" t="s">
        <v>297</v>
      </c>
    </row>
    <row r="10" spans="1:16" x14ac:dyDescent="0.3">
      <c r="A10" s="6" t="s">
        <v>482</v>
      </c>
      <c r="C10" s="6" t="s">
        <v>140</v>
      </c>
      <c r="M10" s="6" t="s">
        <v>483</v>
      </c>
    </row>
    <row r="11" spans="1:16" x14ac:dyDescent="0.3">
      <c r="A11" s="6" t="s">
        <v>222</v>
      </c>
      <c r="C11" s="6" t="s">
        <v>141</v>
      </c>
      <c r="M11" s="6" t="s">
        <v>332</v>
      </c>
    </row>
    <row r="12" spans="1:16" x14ac:dyDescent="0.3">
      <c r="A12" s="6" t="s">
        <v>484</v>
      </c>
      <c r="C12" s="6" t="s">
        <v>142</v>
      </c>
      <c r="M12" s="6" t="s">
        <v>485</v>
      </c>
    </row>
    <row r="13" spans="1:16" x14ac:dyDescent="0.3">
      <c r="A13" s="6" t="s">
        <v>486</v>
      </c>
      <c r="C13" s="6" t="s">
        <v>143</v>
      </c>
    </row>
    <row r="14" spans="1:16" x14ac:dyDescent="0.3">
      <c r="A14" s="6" t="s">
        <v>94</v>
      </c>
      <c r="C14" s="6" t="s">
        <v>144</v>
      </c>
    </row>
    <row r="15" spans="1:16" x14ac:dyDescent="0.3">
      <c r="A15" s="6" t="s">
        <v>487</v>
      </c>
      <c r="C15" s="6" t="s">
        <v>488</v>
      </c>
    </row>
    <row r="16" spans="1:16" x14ac:dyDescent="0.3">
      <c r="A16" s="6" t="s">
        <v>489</v>
      </c>
    </row>
    <row r="17" spans="1:1" x14ac:dyDescent="0.3">
      <c r="A17" s="6" t="s">
        <v>490</v>
      </c>
    </row>
    <row r="18" spans="1:1" x14ac:dyDescent="0.3">
      <c r="A18" s="6" t="s">
        <v>268</v>
      </c>
    </row>
    <row r="19" spans="1:1" x14ac:dyDescent="0.3">
      <c r="A19" s="6" t="s">
        <v>491</v>
      </c>
    </row>
    <row r="20" spans="1:1" x14ac:dyDescent="0.3">
      <c r="A20" s="6" t="s">
        <v>492</v>
      </c>
    </row>
    <row r="21" spans="1:1" x14ac:dyDescent="0.3">
      <c r="A21" s="6" t="s">
        <v>493</v>
      </c>
    </row>
    <row r="22" spans="1:1" x14ac:dyDescent="0.3">
      <c r="A22" s="6" t="s">
        <v>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0_Instrucoes</vt:lpstr>
      <vt:lpstr>1_Identificacao</vt:lpstr>
      <vt:lpstr>2_Smoke_Test</vt:lpstr>
      <vt:lpstr>3_Revisao_Estatica</vt:lpstr>
      <vt:lpstr>4_Plano_de_Testes</vt:lpstr>
      <vt:lpstr>5_Casos_de_Teste</vt:lpstr>
      <vt:lpstr>6_Bugs</vt:lpstr>
      <vt:lpstr>7_Nao_Funcionais</vt:lpstr>
      <vt:lpstr>8_Caixa_Branca</vt:lpstr>
      <vt:lpstr>9_Automacao</vt:lpstr>
      <vt:lpstr>10_Correcao</vt:lpstr>
      <vt:lpstr>11_Relatorio_Final</vt:lpstr>
      <vt:lpstr>12_Uso_de_IA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Aluno</cp:lastModifiedBy>
  <cp:revision>0</cp:revision>
  <dcterms:created xsi:type="dcterms:W3CDTF">2026-10-28T21:26:22Z</dcterms:created>
  <dcterms:modified xsi:type="dcterms:W3CDTF">2026-10-30T00:56:33Z</dcterms:modified>
  <dc:language>en-US</dc:language>
</cp:coreProperties>
</file>